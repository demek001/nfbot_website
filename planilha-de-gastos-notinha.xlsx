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osde\Downloads\"/>
    </mc:Choice>
  </mc:AlternateContent>
  <xr:revisionPtr revIDLastSave="0" documentId="13_ncr:1_{629EE826-D812-4E61-A846-D3361B25A95D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omo usar" sheetId="1" r:id="rId1"/>
    <sheet name="2026" sheetId="2" r:id="rId2"/>
    <sheet name="2025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6" i="3" l="1"/>
  <c r="L26" i="3"/>
  <c r="K26" i="3"/>
  <c r="J26" i="3"/>
  <c r="I26" i="3"/>
  <c r="H26" i="3"/>
  <c r="G26" i="3"/>
  <c r="F26" i="3"/>
  <c r="E26" i="3"/>
  <c r="D26" i="3"/>
  <c r="C26" i="3"/>
  <c r="B26" i="3"/>
  <c r="N25" i="3"/>
  <c r="N24" i="3"/>
  <c r="N23" i="3"/>
  <c r="N22" i="3"/>
  <c r="N21" i="3"/>
  <c r="N20" i="3"/>
  <c r="N19" i="3"/>
  <c r="N18" i="3"/>
  <c r="N26" i="3" s="1"/>
  <c r="C5" i="3" s="1"/>
  <c r="J5" i="3" s="1"/>
  <c r="M14" i="3"/>
  <c r="L14" i="3"/>
  <c r="K14" i="3"/>
  <c r="J14" i="3"/>
  <c r="I14" i="3"/>
  <c r="H14" i="3"/>
  <c r="G14" i="3"/>
  <c r="F14" i="3"/>
  <c r="E14" i="3"/>
  <c r="D14" i="3"/>
  <c r="C14" i="3"/>
  <c r="B14" i="3"/>
  <c r="N13" i="3"/>
  <c r="N14" i="3" s="1"/>
  <c r="C4" i="3" s="1"/>
  <c r="N12" i="3"/>
  <c r="N11" i="3"/>
  <c r="I34" i="2"/>
  <c r="I33" i="2"/>
  <c r="I32" i="2"/>
  <c r="I31" i="2"/>
  <c r="I30" i="2"/>
  <c r="M26" i="2"/>
  <c r="L26" i="2"/>
  <c r="K26" i="2"/>
  <c r="J26" i="2"/>
  <c r="I26" i="2"/>
  <c r="H26" i="2"/>
  <c r="G26" i="2"/>
  <c r="F26" i="2"/>
  <c r="E26" i="2"/>
  <c r="D26" i="2"/>
  <c r="C26" i="2"/>
  <c r="B26" i="2"/>
  <c r="N25" i="2"/>
  <c r="N24" i="2"/>
  <c r="N23" i="2"/>
  <c r="N22" i="2"/>
  <c r="N21" i="2"/>
  <c r="N20" i="2"/>
  <c r="N19" i="2"/>
  <c r="N18" i="2"/>
  <c r="N26" i="2" s="1"/>
  <c r="C5" i="2" s="1"/>
  <c r="J5" i="2" s="1"/>
  <c r="N14" i="2"/>
  <c r="C4" i="2" s="1"/>
  <c r="M14" i="2"/>
  <c r="L14" i="2"/>
  <c r="K14" i="2"/>
  <c r="J14" i="2"/>
  <c r="I14" i="2"/>
  <c r="H14" i="2"/>
  <c r="G14" i="2"/>
  <c r="F14" i="2"/>
  <c r="E14" i="2"/>
  <c r="D14" i="2"/>
  <c r="C14" i="2"/>
  <c r="B14" i="2"/>
  <c r="N13" i="2"/>
  <c r="N12" i="2"/>
  <c r="N11" i="2"/>
  <c r="J7" i="2" l="1"/>
  <c r="J6" i="2"/>
  <c r="C7" i="3"/>
  <c r="C6" i="3"/>
  <c r="J6" i="3"/>
  <c r="J7" i="3"/>
  <c r="C7" i="2"/>
  <c r="C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4" authorId="0" shapeId="0" xr:uid="{00000000-0006-0000-0100-000002000000}">
      <text>
        <r>
          <rPr>
            <sz val="10"/>
            <rFont val="Arial"/>
            <family val="2"/>
          </rPr>
          <t>Defina sua meta de gasto mensal aqui.</t>
        </r>
      </text>
    </comment>
    <comment ref="B11" authorId="0" shapeId="0" xr:uid="{00000000-0006-0000-0100-000001000000}">
      <text>
        <r>
          <rPr>
            <sz val="10"/>
            <rFont val="Arial"/>
            <family val="2"/>
          </rPr>
          <t>Preencha sua renda nas células amarelas. Em branco fica zero.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4" authorId="0" shapeId="0" xr:uid="{00000000-0006-0000-0200-000002000000}">
      <text>
        <r>
          <rPr>
            <sz val="10"/>
            <rFont val="Arial"/>
            <family val="2"/>
          </rPr>
          <t>Defina sua meta de gasto mensal aqui.</t>
        </r>
      </text>
    </comment>
    <comment ref="B11" authorId="0" shapeId="0" xr:uid="{00000000-0006-0000-0200-000001000000}">
      <text>
        <r>
          <rPr>
            <sz val="10"/>
            <rFont val="Arial"/>
            <family val="2"/>
          </rPr>
          <t>Preencha sua renda nas células amarelas. Em branco fica zero.</t>
        </r>
      </text>
    </comment>
  </commentList>
</comments>
</file>

<file path=xl/sharedStrings.xml><?xml version="1.0" encoding="utf-8"?>
<sst xmlns="http://schemas.openxmlformats.org/spreadsheetml/2006/main" count="148" uniqueCount="68">
  <si>
    <t>Notinha    ·    Sua planilha de gastos</t>
  </si>
  <si>
    <t>Cada aba é um ano. O Notinha preenche os gastos a partir das fotos das suas notas no WhatsApp.</t>
  </si>
  <si>
    <t>O Notinha preenche sozinho:</t>
  </si>
  <si>
    <t xml:space="preserve">    •  Despesas de cada mês, separadas por categoria</t>
  </si>
  <si>
    <t xml:space="preserve">    •  Os produtos que você mais compra</t>
  </si>
  <si>
    <t xml:space="preserve">    •  Os produtos que mais subiram de preço</t>
  </si>
  <si>
    <t>Você preenche (leva 30 segundos por mês):</t>
  </si>
  <si>
    <t xml:space="preserve">    •  Sua renda — nas células amarelas da seção "Sua renda"</t>
  </si>
  <si>
    <t xml:space="preserve">    •  Sua meta de gastos do mês — na célula amarela do Painel</t>
  </si>
  <si>
    <t>O Painel do ano mostra na hora: quanto entrou, quanto saiu, quanto sobrou e quanto da renda você gastou.</t>
  </si>
  <si>
    <t>A aba 2026 vem com dados de exemplo. A aba 2025 está vazia, pronta pra usar.</t>
  </si>
  <si>
    <t>Notinha    ·    Controle 2026</t>
  </si>
  <si>
    <t>PAINEL DO ANO</t>
  </si>
  <si>
    <t>META DE GASTOS</t>
  </si>
  <si>
    <t>Renda Total</t>
  </si>
  <si>
    <t>Meta mensal</t>
  </si>
  <si>
    <t>Despesas Totais</t>
  </si>
  <si>
    <t>Média gasta/mês</t>
  </si>
  <si>
    <t>Saldo (sobra)</t>
  </si>
  <si>
    <t>Status</t>
  </si>
  <si>
    <t>% da renda gasto</t>
  </si>
  <si>
    <t>Uso da meta</t>
  </si>
  <si>
    <t>SUA RENDA   ·   preencha as células amarelas</t>
  </si>
  <si>
    <t>Tipo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</si>
  <si>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</si>
  <si>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</si>
  <si>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</si>
  <si>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</si>
  <si>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</si>
  <si>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</si>
  <si>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</si>
  <si>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</si>
  <si>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</si>
  <si>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</si>
  <si>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</si>
  <si>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</si>
  <si>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</si>
  <si>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Salário</t>
  </si>
  <si>
    <t>Extra</t>
  </si>
  <si>
    <t>Outros</t>
  </si>
  <si>
    <t>Total da renda</t>
  </si>
  <si>
    <t>DESPESAS POR CATEGORIA   ·   o Notinha preenche</t>
  </si>
  <si>
    <t>Categoria</t>
  </si>
  <si>
    <t>Mercado</t>
  </si>
  <si>
    <t>Combustível</t>
  </si>
  <si>
    <t>Restaurante</t>
  </si>
  <si>
    <t>Farmácia</t>
  </si>
  <si>
    <t>Transporte</t>
  </si>
  <si>
    <t>Lazer</t>
  </si>
  <si>
    <t>Serviços</t>
  </si>
  <si>
    <t>Total despesas</t>
  </si>
  <si>
    <t>PRODUTOS QUE VOCÊ MAIS COMPRA</t>
  </si>
  <si>
    <t>MAIORES AUMENTOS DE PREÇO</t>
  </si>
  <si>
    <t>Produto</t>
  </si>
  <si>
    <t>Qtd</t>
  </si>
  <si>
    <t>Antes</t>
  </si>
  <si>
    <t>Agora</t>
  </si>
  <si>
    <t>Variação</t>
  </si>
  <si>
    <t>Café Torrado</t>
  </si>
  <si>
    <t>Leite Integral</t>
  </si>
  <si>
    <t>Manteiga</t>
  </si>
  <si>
    <t>Banana Prata</t>
  </si>
  <si>
    <t>Arroz 5kg</t>
  </si>
  <si>
    <t>Pão de Forma</t>
  </si>
  <si>
    <t>Óleo de Soja</t>
  </si>
  <si>
    <t>Detergente</t>
  </si>
  <si>
    <t>Notinha    ·    Controle 2025</t>
  </si>
  <si>
    <t>https://usenotinha.com.br/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</si>
</sst>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R$ &quot;#,##0"/>
    <numFmt numFmtId="165" formatCode="0.0%"/>
    <numFmt numFmtId="166" formatCode="&quot;R$ &quot;#,##0;;&quot;&quot;"/>
    <numFmt numFmtId="167" formatCode="&quot;R$ &quot;#,##0;;\-"/>
    <numFmt numFmtId="168" formatCode="&quot;R$ &quot;#,##0.00"/>
    <numFmt numFmtId="169" formatCode="\+0.0%;\-0.0%;0.0%"/>
  </numFmts>
  <fonts count="20">
    <font>
      <sz val="11"/>
      <color theme="1"/>
      <name val="Calibri"/>
      <family val="2"/>
      <charset val="1"/>
    </font>
    <font>
      <b/>
      <sz val="22"/>
      <color rgb="FF288A89"/>
      <name val="Plus Jakarta Sans"/>
      <charset val="1"/>
    </font>
    <font>
      <sz val="10"/>
      <color rgb="FF111827"/>
      <name val="Arial"/>
      <charset val="1"/>
    </font>
    <font>
      <sz val="11"/>
      <color rgb="FF55636E"/>
      <name val="DM Sans"/>
      <charset val="1"/>
    </font>
    <font>
      <b/>
      <sz val="13"/>
      <color rgb="FF288A89"/>
      <name val="Fraunces"/>
      <charset val="1"/>
    </font>
    <font>
      <sz val="11"/>
      <color rgb="FF1F2630"/>
      <name val="DM Sans"/>
      <charset val="1"/>
    </font>
    <font>
      <b/>
      <sz val="20"/>
      <color rgb="FF288A89"/>
      <name val="Plus Jakarta Sans"/>
      <charset val="1"/>
    </font>
    <font>
      <b/>
      <sz val="12"/>
      <color rgb="FFFFFFFF"/>
      <name val="Fraunces"/>
      <charset val="1"/>
    </font>
    <font>
      <sz val="10"/>
      <color rgb="FF55636E"/>
      <name val="DM Sans"/>
      <charset val="1"/>
    </font>
    <font>
      <b/>
      <sz val="11"/>
      <color rgb="FF288A89"/>
      <name val="DM Sans"/>
      <charset val="1"/>
    </font>
    <font>
      <b/>
      <sz val="11"/>
      <color rgb="FF1F2630"/>
      <name val="DM Sans"/>
      <charset val="1"/>
    </font>
    <font>
      <b/>
      <sz val="10"/>
      <color rgb="FF288A89"/>
      <name val="DM Sans"/>
      <charset val="1"/>
    </font>
    <font>
      <sz val="10"/>
      <color rgb="FF288A89"/>
      <name val="Consolas"/>
      <charset val="1"/>
    </font>
    <font>
      <b/>
      <sz val="10"/>
      <color rgb="FFE6EDF3"/>
      <name val="DM Sans"/>
      <charset val="1"/>
    </font>
    <font>
      <sz val="10"/>
      <color rgb="FF1F2630"/>
      <name val="DM Sans"/>
      <charset val="1"/>
    </font>
    <font>
      <b/>
      <sz val="10"/>
      <color rgb="FF1F2630"/>
      <name val="DM Sans"/>
      <charset val="1"/>
    </font>
    <font>
      <b/>
      <sz val="10"/>
      <color rgb="FF14524F"/>
      <name val="DM Sans"/>
      <charset val="1"/>
    </font>
    <font>
      <b/>
      <sz val="10"/>
      <color rgb="FFB23B3B"/>
      <name val="DM Sans"/>
      <charset val="1"/>
    </font>
    <font>
      <sz val="10"/>
      <name val="Arial"/>
      <family val="2"/>
    </font>
    <font>
      <u/>
      <sz val="11"/>
      <color theme="1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D1117"/>
        <bgColor rgb="FF111827"/>
      </patternFill>
    </fill>
    <fill>
      <patternFill patternType="solid">
        <fgColor rgb="FF288A89"/>
        <bgColor rgb="FF008080"/>
      </patternFill>
    </fill>
    <fill>
      <patternFill patternType="solid">
        <fgColor rgb="FFDCEDEC"/>
        <bgColor rgb="FFE6EDF3"/>
      </patternFill>
    </fill>
    <fill>
      <patternFill patternType="solid">
        <fgColor rgb="FFFFE9A8"/>
        <bgColor rgb="FFF0DFA8"/>
      </patternFill>
    </fill>
    <fill>
      <patternFill patternType="solid">
        <fgColor rgb="FF1F2630"/>
        <bgColor rgb="FF111827"/>
      </patternFill>
    </fill>
    <fill>
      <patternFill patternType="solid">
        <fgColor rgb="FFFFFFFF"/>
        <bgColor rgb="FFF6F8FA"/>
      </patternFill>
    </fill>
    <fill>
      <patternFill patternType="solid">
        <fgColor rgb="FFC9E5E4"/>
        <bgColor rgb="FFDCEDEC"/>
      </patternFill>
    </fill>
    <fill>
      <patternFill patternType="solid">
        <fgColor rgb="FFF6F8FA"/>
        <bgColor rgb="FFFFFFFF"/>
      </patternFill>
    </fill>
  </fills>
  <borders count="4">
    <border>
      <left/>
      <right/>
      <top/>
      <bottom/>
      <diagonal/>
    </border>
    <border>
      <left style="thin">
        <color rgb="FFE5C766"/>
      </left>
      <right style="thin">
        <color rgb="FFE5C766"/>
      </right>
      <top style="thin">
        <color rgb="FFE5C766"/>
      </top>
      <bottom style="thin">
        <color rgb="FFE5C766"/>
      </bottom>
      <diagonal/>
    </border>
    <border>
      <left style="thin">
        <color rgb="FFF0DFA8"/>
      </left>
      <right style="thin">
        <color rgb="FFF0DFA8"/>
      </right>
      <top style="thin">
        <color rgb="FFF0DFA8"/>
      </top>
      <bottom style="thin">
        <color rgb="FFF0DFA8"/>
      </bottom>
      <diagonal/>
    </border>
    <border>
      <left/>
      <right/>
      <top style="medium">
        <color rgb="FF288A89"/>
      </top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40">
    <xf numFmtId="0" fontId="0" fillId="0" borderId="0" xfId="0"/>
    <xf numFmtId="0" fontId="12" fillId="4" borderId="0" xfId="0" applyFont="1" applyFill="1" applyBorder="1" applyAlignment="1">
      <alignment horizontal="right" vertical="center"/>
    </xf>
    <xf numFmtId="165" fontId="9" fillId="4" borderId="0" xfId="0" applyNumberFormat="1" applyFont="1" applyFill="1" applyBorder="1" applyAlignment="1">
      <alignment horizontal="right" vertical="center"/>
    </xf>
    <xf numFmtId="0" fontId="11" fillId="4" borderId="0" xfId="0" applyFont="1" applyFill="1" applyBorder="1" applyAlignment="1">
      <alignment horizontal="right" vertical="center"/>
    </xf>
    <xf numFmtId="164" fontId="10" fillId="5" borderId="1" xfId="0" applyNumberFormat="1" applyFont="1" applyFill="1" applyBorder="1" applyAlignment="1">
      <alignment horizontal="right" vertical="center"/>
    </xf>
    <xf numFmtId="164" fontId="9" fillId="4" borderId="0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left" vertical="center" indent="3"/>
    </xf>
    <xf numFmtId="0" fontId="0" fillId="0" borderId="0" xfId="0" applyAlignment="1"/>
    <xf numFmtId="0" fontId="1" fillId="2" borderId="0" xfId="0" applyFont="1" applyFill="1" applyAlignment="1">
      <alignment horizontal="left" vertical="center" indent="2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indent="2"/>
    </xf>
    <xf numFmtId="0" fontId="7" fillId="3" borderId="0" xfId="0" applyFont="1" applyFill="1" applyAlignment="1">
      <alignment horizontal="left" vertical="center" indent="1"/>
    </xf>
    <xf numFmtId="0" fontId="0" fillId="3" borderId="0" xfId="0" applyFill="1" applyAlignment="1"/>
    <xf numFmtId="0" fontId="8" fillId="0" borderId="0" xfId="0" applyFont="1" applyAlignment="1">
      <alignment horizontal="left" vertical="center" indent="1"/>
    </xf>
    <xf numFmtId="0" fontId="13" fillId="6" borderId="0" xfId="0" applyFont="1" applyFill="1" applyAlignment="1">
      <alignment horizontal="left" vertical="center" indent="1"/>
    </xf>
    <xf numFmtId="0" fontId="13" fillId="6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6" fontId="14" fillId="5" borderId="2" xfId="0" applyNumberFormat="1" applyFont="1" applyFill="1" applyBorder="1" applyAlignment="1">
      <alignment horizontal="right" vertical="center"/>
    </xf>
    <xf numFmtId="166" fontId="15" fillId="7" borderId="0" xfId="0" applyNumberFormat="1" applyFont="1" applyFill="1" applyAlignment="1">
      <alignment horizontal="right" vertical="center"/>
    </xf>
    <xf numFmtId="0" fontId="16" fillId="8" borderId="3" xfId="0" applyFont="1" applyFill="1" applyBorder="1" applyAlignment="1">
      <alignment horizontal="left" vertical="center" indent="1"/>
    </xf>
    <xf numFmtId="167" fontId="16" fillId="8" borderId="3" xfId="0" applyNumberFormat="1" applyFont="1" applyFill="1" applyBorder="1" applyAlignment="1">
      <alignment horizontal="right" vertical="center"/>
    </xf>
    <xf numFmtId="0" fontId="14" fillId="7" borderId="0" xfId="0" applyFont="1" applyFill="1" applyAlignment="1">
      <alignment horizontal="left" vertical="center" indent="1"/>
    </xf>
    <xf numFmtId="166" fontId="8" fillId="7" borderId="0" xfId="0" applyNumberFormat="1" applyFont="1" applyFill="1" applyAlignment="1">
      <alignment horizontal="right" vertical="center"/>
    </xf>
    <xf numFmtId="0" fontId="14" fillId="9" borderId="0" xfId="0" applyFont="1" applyFill="1" applyAlignment="1">
      <alignment horizontal="left" vertical="center" indent="1"/>
    </xf>
    <xf numFmtId="166" fontId="8" fillId="9" borderId="0" xfId="0" applyNumberFormat="1" applyFont="1" applyFill="1" applyAlignment="1">
      <alignment horizontal="right" vertical="center"/>
    </xf>
    <xf numFmtId="166" fontId="15" fillId="9" borderId="0" xfId="0" applyNumberFormat="1" applyFont="1" applyFill="1" applyAlignment="1">
      <alignment horizontal="right" vertical="center"/>
    </xf>
    <xf numFmtId="0" fontId="14" fillId="7" borderId="0" xfId="0" applyFont="1" applyFill="1" applyAlignment="1">
      <alignment horizontal="right" vertical="center"/>
    </xf>
    <xf numFmtId="168" fontId="14" fillId="7" borderId="0" xfId="0" applyNumberFormat="1" applyFont="1" applyFill="1" applyAlignment="1">
      <alignment horizontal="right" vertical="center"/>
    </xf>
    <xf numFmtId="169" fontId="17" fillId="7" borderId="0" xfId="0" applyNumberFormat="1" applyFont="1" applyFill="1" applyAlignment="1">
      <alignment horizontal="right" vertical="center"/>
    </xf>
    <xf numFmtId="0" fontId="14" fillId="9" borderId="0" xfId="0" applyFont="1" applyFill="1" applyAlignment="1">
      <alignment horizontal="right" vertical="center"/>
    </xf>
    <xf numFmtId="168" fontId="14" fillId="9" borderId="0" xfId="0" applyNumberFormat="1" applyFont="1" applyFill="1" applyAlignment="1">
      <alignment horizontal="right" vertical="center"/>
    </xf>
    <xf numFmtId="169" fontId="17" fillId="9" borderId="0" xfId="0" applyNumberFormat="1" applyFont="1" applyFill="1" applyAlignment="1">
      <alignment horizontal="right" vertical="center"/>
    </xf>
    <xf numFmtId="0" fontId="19" fillId="0" borderId="0" xfId="1" applyAlignment="1"/>
    <xf numFmtId="0" fontId="14" fillId="7" borderId="0" xfId="0" applyFont="1" applyFill="1" applyAlignment="1">
      <alignment horizontal="right" vertical="center" indent="1"/>
    </xf>
    <xf numFmtId="0" fontId="14" fillId="9" borderId="0" xfId="0" applyFont="1" applyFill="1" applyAlignment="1">
      <alignment horizontal="right" vertical="center" indent="1"/>
    </xf>
    <xf numFmtId="0" fontId="14" fillId="7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 indent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5C766"/>
      <rgbColor rgb="FF808080"/>
      <rgbColor rgb="FF9999FF"/>
      <rgbColor rgb="FFB23B3B"/>
      <rgbColor rgb="FFF6F8FA"/>
      <rgbColor rgb="FFDCEDEC"/>
      <rgbColor rgb="FF660066"/>
      <rgbColor rgb="FFFF8080"/>
      <rgbColor rgb="FF0066CC"/>
      <rgbColor rgb="FFC9E5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DF3"/>
      <rgbColor rgb="FFCCFFCC"/>
      <rgbColor rgb="FFFFE9A8"/>
      <rgbColor rgb="FF99CCFF"/>
      <rgbColor rgb="FFFF99CC"/>
      <rgbColor rgb="FFCC99FF"/>
      <rgbColor rgb="FFF0DFA8"/>
      <rgbColor rgb="FF3366FF"/>
      <rgbColor rgb="FF33CCCC"/>
      <rgbColor rgb="FF99CC00"/>
      <rgbColor rgb="FFFFCC00"/>
      <rgbColor rgb="FFFF9900"/>
      <rgbColor rgb="FFFF6600"/>
      <rgbColor rgb="FF55636E"/>
      <rgbColor rgb="FF969696"/>
      <rgbColor rgb="FF14524F"/>
      <rgbColor rgb="FF288A89"/>
      <rgbColor rgb="FF111827"/>
      <rgbColor rgb="FF0D1117"/>
      <rgbColor rgb="FF993300"/>
      <rgbColor rgb="FF993366"/>
      <rgbColor rgb="FF333399"/>
      <rgbColor rgb="FF1F26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senotinha.com.br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1117"/>
  </sheetPr>
  <dimension ref="A1:A17"/>
  <sheetViews>
    <sheetView showGridLines="0" zoomScaleNormal="100" workbookViewId="0">
      <selection activeCell="A6" sqref="A6"/>
    </sheetView>
  </sheetViews>
  <sheetFormatPr defaultColWidth="0" defaultRowHeight="14.4" zeroHeight="1"/>
  <cols>
    <col min="1" max="1" width="104" style="7" customWidth="1"/>
    <col min="2" max="16384" width="8.6640625" hidden="1"/>
  </cols>
  <sheetData>
    <row r="1" spans="1:1" ht="49.5" customHeight="1">
      <c r="A1" s="8" t="s">
        <v>0</v>
      </c>
    </row>
    <row r="2" spans="1:1" ht="7.5" customHeight="1">
      <c r="A2" s="9"/>
    </row>
    <row r="3" spans="1:1" ht="21.75" customHeight="1">
      <c r="A3" s="10" t="s">
        <v>1</v>
      </c>
    </row>
    <row r="4" spans="1:1" ht="7.5" customHeight="1">
      <c r="A4" s="9"/>
    </row>
    <row r="5" spans="1:1" ht="25.5" customHeight="1">
      <c r="A5" s="11" t="s">
        <v>2</v>
      </c>
    </row>
    <row r="6" spans="1:1" ht="19.5" customHeight="1">
      <c r="A6" s="12" t="s">
        <v>3</v>
      </c>
    </row>
    <row r="7" spans="1:1" ht="19.5" customHeight="1">
      <c r="A7" s="12" t="s">
        <v>4</v>
      </c>
    </row>
    <row r="8" spans="1:1" ht="19.5" customHeight="1">
      <c r="A8" s="12" t="s">
        <v>5</v>
      </c>
    </row>
    <row r="9" spans="1:1" ht="7.5" customHeight="1">
      <c r="A9" s="9"/>
    </row>
    <row r="10" spans="1:1" ht="25.5" customHeight="1">
      <c r="A10" s="11" t="s">
        <v>6</v>
      </c>
    </row>
    <row r="11" spans="1:1" ht="19.5" customHeight="1">
      <c r="A11" s="12" t="s">
        <v>7</v>
      </c>
    </row>
    <row r="12" spans="1:1" ht="19.5" customHeight="1">
      <c r="A12" s="12" t="s">
        <v>8</v>
      </c>
    </row>
    <row r="13" spans="1:1" ht="7.5" customHeight="1">
      <c r="A13" s="9"/>
    </row>
    <row r="14" spans="1:1" ht="33.6">
      <c r="A14" s="11" t="s">
        <v>9</v>
      </c>
    </row>
    <row r="15" spans="1:1" ht="7.5" customHeight="1">
      <c r="A15" s="9"/>
    </row>
    <row r="16" spans="1:1" ht="21.75" customHeight="1">
      <c r="A16" s="10" t="s">
        <v>10</v>
      </c>
    </row>
    <row r="17" spans="1:1">
      <c r="A17" s="34" t="s">
        <v>67</v>
      </c>
    </row>
  </sheetData>
  <hyperlinks>
    <hyperlink ref="A17" r:id="rId1" xr:uid="{57C045E4-B7D9-4C8C-AE26-9C38EF882422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88A89"/>
  </sheetPr>
  <dimension ref="A1:N35"/>
  <sheetViews>
    <sheetView showGridLines="0" tabSelected="1" zoomScale="67" zoomScaleNormal="67" workbookViewId="0">
      <pane ySplit="1" topLeftCell="A2" activePane="bottomLeft" state="frozen"/>
      <selection pane="bottomLeft" activeCell="K3" sqref="K3"/>
    </sheetView>
  </sheetViews>
  <sheetFormatPr defaultColWidth="0" defaultRowHeight="14.4" zeroHeight="1"/>
  <cols>
    <col min="1" max="1" width="24" style="7" customWidth="1"/>
    <col min="2" max="5" width="10" style="7" customWidth="1"/>
    <col min="6" max="6" width="12.77734375" style="7" customWidth="1"/>
    <col min="7" max="13" width="10" style="7" customWidth="1"/>
    <col min="14" max="14" width="12.44140625" style="7" customWidth="1"/>
    <col min="15" max="15" width="0.6640625" customWidth="1"/>
    <col min="16" max="16384" width="8.6640625" hidden="1"/>
  </cols>
  <sheetData>
    <row r="1" spans="1:14" ht="45.75" customHeight="1">
      <c r="A1" s="6" t="s">
        <v>11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6" customHeight="1"/>
    <row r="3" spans="1:14" ht="21.75" customHeight="1">
      <c r="A3" s="13" t="s">
        <v>12</v>
      </c>
      <c r="B3" s="14"/>
      <c r="C3" s="14"/>
      <c r="H3" s="13" t="s">
        <v>13</v>
      </c>
      <c r="I3" s="14"/>
      <c r="J3" s="14"/>
    </row>
    <row r="4" spans="1:14" ht="18" customHeight="1">
      <c r="A4" s="15" t="s">
        <v>14</v>
      </c>
      <c r="C4" s="5">
        <f>N14</f>
        <v>31300</v>
      </c>
      <c r="D4" s="5"/>
      <c r="H4" s="15" t="s">
        <v>15</v>
      </c>
      <c r="J4" s="4">
        <v>3000</v>
      </c>
      <c r="K4" s="4"/>
    </row>
    <row r="5" spans="1:14" ht="18" customHeight="1">
      <c r="A5" s="15" t="s">
        <v>16</v>
      </c>
      <c r="C5" s="5">
        <f>N26</f>
        <v>14177</v>
      </c>
      <c r="D5" s="5"/>
      <c r="H5" s="15" t="s">
        <v>17</v>
      </c>
      <c r="J5" s="5">
        <f>C5/12</f>
        <v>1181.4166666666667</v>
      </c>
      <c r="K5" s="5"/>
    </row>
    <row r="6" spans="1:14" ht="18" customHeight="1">
      <c r="A6" s="15" t="s">
        <v>18</v>
      </c>
      <c r="C6" s="5">
        <f>C4-C5</f>
        <v>17123</v>
      </c>
      <c r="D6" s="5"/>
      <c r="H6" s="15" t="s">
        <v>19</v>
      </c>
      <c r="J6" s="3" t="str">
        <f>IF(J4=0,"defina a meta",IF(J5&gt;J4,"⚠️ Acima da meta","✅ Dentro da meta"))</f>
        <v>✅ Dentro da meta</v>
      </c>
      <c r="K6" s="3"/>
    </row>
    <row r="7" spans="1:14" ht="18" customHeight="1">
      <c r="A7" s="15" t="s">
        <v>20</v>
      </c>
      <c r="C7" s="2">
        <f>IF(C4&gt;0,C5/C4,0)</f>
        <v>0.45293929712460063</v>
      </c>
      <c r="D7" s="2"/>
      <c r="H7" s="15" t="s">
        <v>21</v>
      </c>
      <c r="J7" s="1" t="str">
        <f>IF(J4&gt;0,REPT("█",ROUND(MIN(J5/J4,1)*10,0))&amp;REPT("░",10-ROUND(MIN(J5/J4,1)*10,0)),"")</f>
        <v>████░░░░░░</v>
      </c>
      <c r="K7" s="1"/>
    </row>
    <row r="8" spans="1:14"/>
    <row r="9" spans="1:14" ht="21.75" customHeight="1">
      <c r="A9" s="13" t="s">
        <v>22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spans="1:14" ht="18" customHeight="1">
      <c r="A10" s="16" t="s">
        <v>23</v>
      </c>
      <c r="B10" s="17" t="s">
        <v>24</v>
      </c>
      <c r="C10" s="17" t="s">
        <v>25</v>
      </c>
      <c r="D10" s="17" t="s">
        <v>26</v>
      </c>
      <c r="E10" s="17" t="s">
        <v>27</v>
      </c>
      <c r="F10" s="17" t="s">
        <v>28</v>
      </c>
      <c r="G10" s="17" t="s">
        <v>29</v>
      </c>
      <c r="H10" s="17" t="s">
        <v>30</v>
      </c>
      <c r="I10" s="17" t="s">
        <v>31</v>
      </c>
      <c r="J10" s="17" t="s">
        <v>32</v>
      </c>
      <c r="K10" s="17" t="s">
        <v>33</v>
      </c>
      <c r="L10" s="17" t="s">
        <v>34</v>
      </c>
      <c r="M10" s="17" t="s">
        <v>35</v>
      </c>
      <c r="N10" s="17" t="s">
        <v>36</v>
      </c>
    </row>
    <row r="11" spans="1:14" ht="15" customHeight="1">
      <c r="A11" s="18" t="s">
        <v>37</v>
      </c>
      <c r="B11" s="19">
        <v>5000</v>
      </c>
      <c r="C11" s="19">
        <v>5000</v>
      </c>
      <c r="D11" s="19">
        <v>5000</v>
      </c>
      <c r="E11" s="19">
        <v>5000</v>
      </c>
      <c r="F11" s="19">
        <v>5000</v>
      </c>
      <c r="G11" s="19">
        <v>5000</v>
      </c>
      <c r="H11" s="19"/>
      <c r="I11" s="19"/>
      <c r="J11" s="19"/>
      <c r="K11" s="19"/>
      <c r="L11" s="19"/>
      <c r="M11" s="19"/>
      <c r="N11" s="20">
        <f>SUM(B11:M11)</f>
        <v>30000</v>
      </c>
    </row>
    <row r="12" spans="1:14" ht="15" customHeight="1">
      <c r="A12" s="18" t="s">
        <v>38</v>
      </c>
      <c r="B12" s="19">
        <v>400</v>
      </c>
      <c r="C12" s="19"/>
      <c r="D12" s="19">
        <v>600</v>
      </c>
      <c r="E12" s="19"/>
      <c r="F12" s="19">
        <v>300</v>
      </c>
      <c r="G12" s="19"/>
      <c r="H12" s="19"/>
      <c r="I12" s="19"/>
      <c r="J12" s="19"/>
      <c r="K12" s="19"/>
      <c r="L12" s="19"/>
      <c r="M12" s="19"/>
      <c r="N12" s="20">
        <f>SUM(B12:M12)</f>
        <v>1300</v>
      </c>
    </row>
    <row r="13" spans="1:14" ht="15" customHeight="1">
      <c r="A13" s="18" t="s">
        <v>39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>
        <f>SUM(B13:M13)</f>
        <v>0</v>
      </c>
    </row>
    <row r="14" spans="1:14" ht="18" customHeight="1">
      <c r="A14" s="21" t="s">
        <v>40</v>
      </c>
      <c r="B14" s="22">
        <f t="shared" ref="B14:N14" si="0">SUM(B11:B13)</f>
        <v>5400</v>
      </c>
      <c r="C14" s="22">
        <f t="shared" si="0"/>
        <v>5000</v>
      </c>
      <c r="D14" s="22">
        <f t="shared" si="0"/>
        <v>5600</v>
      </c>
      <c r="E14" s="22">
        <f t="shared" si="0"/>
        <v>5000</v>
      </c>
      <c r="F14" s="22">
        <f t="shared" si="0"/>
        <v>5300</v>
      </c>
      <c r="G14" s="22">
        <f t="shared" si="0"/>
        <v>5000</v>
      </c>
      <c r="H14" s="22">
        <f t="shared" si="0"/>
        <v>0</v>
      </c>
      <c r="I14" s="22">
        <f t="shared" si="0"/>
        <v>0</v>
      </c>
      <c r="J14" s="22">
        <f t="shared" si="0"/>
        <v>0</v>
      </c>
      <c r="K14" s="22">
        <f t="shared" si="0"/>
        <v>0</v>
      </c>
      <c r="L14" s="22">
        <f t="shared" si="0"/>
        <v>0</v>
      </c>
      <c r="M14" s="22">
        <f t="shared" si="0"/>
        <v>0</v>
      </c>
      <c r="N14" s="22">
        <f t="shared" si="0"/>
        <v>31300</v>
      </c>
    </row>
    <row r="15" spans="1:14"/>
    <row r="16" spans="1:14" ht="21.75" customHeight="1">
      <c r="A16" s="13" t="s">
        <v>41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18" customHeight="1">
      <c r="A17" s="16" t="s">
        <v>42</v>
      </c>
      <c r="B17" s="17" t="s">
        <v>24</v>
      </c>
      <c r="C17" s="17" t="s">
        <v>25</v>
      </c>
      <c r="D17" s="17" t="s">
        <v>26</v>
      </c>
      <c r="E17" s="17" t="s">
        <v>27</v>
      </c>
      <c r="F17" s="17" t="s">
        <v>28</v>
      </c>
      <c r="G17" s="17" t="s">
        <v>29</v>
      </c>
      <c r="H17" s="17" t="s">
        <v>30</v>
      </c>
      <c r="I17" s="17" t="s">
        <v>31</v>
      </c>
      <c r="J17" s="17" t="s">
        <v>32</v>
      </c>
      <c r="K17" s="17" t="s">
        <v>33</v>
      </c>
      <c r="L17" s="17" t="s">
        <v>34</v>
      </c>
      <c r="M17" s="17" t="s">
        <v>35</v>
      </c>
      <c r="N17" s="17" t="s">
        <v>36</v>
      </c>
    </row>
    <row r="18" spans="1:14" ht="15.75" customHeight="1">
      <c r="A18" s="23" t="s">
        <v>43</v>
      </c>
      <c r="B18" s="24">
        <v>842</v>
      </c>
      <c r="C18" s="24">
        <v>790</v>
      </c>
      <c r="D18" s="24">
        <v>910</v>
      </c>
      <c r="E18" s="24">
        <v>860</v>
      </c>
      <c r="F18" s="24">
        <v>805</v>
      </c>
      <c r="G18" s="24">
        <v>842</v>
      </c>
      <c r="H18" s="24"/>
      <c r="I18" s="24"/>
      <c r="J18" s="24"/>
      <c r="K18" s="24"/>
      <c r="L18" s="24"/>
      <c r="M18" s="24"/>
      <c r="N18" s="20">
        <f t="shared" ref="N18:N25" si="1">SUM(B18:M18)</f>
        <v>5049</v>
      </c>
    </row>
    <row r="19" spans="1:14" ht="15.75" customHeight="1">
      <c r="A19" s="25" t="s">
        <v>44</v>
      </c>
      <c r="B19" s="26">
        <v>380</v>
      </c>
      <c r="C19" s="26">
        <v>360</v>
      </c>
      <c r="D19" s="26">
        <v>400</v>
      </c>
      <c r="E19" s="26">
        <v>380</v>
      </c>
      <c r="F19" s="26">
        <v>390</v>
      </c>
      <c r="G19" s="26">
        <v>380</v>
      </c>
      <c r="H19" s="26"/>
      <c r="I19" s="26"/>
      <c r="J19" s="26"/>
      <c r="K19" s="26"/>
      <c r="L19" s="26"/>
      <c r="M19" s="26"/>
      <c r="N19" s="27">
        <f t="shared" si="1"/>
        <v>2290</v>
      </c>
    </row>
    <row r="20" spans="1:14" ht="15.75" customHeight="1">
      <c r="A20" s="23" t="s">
        <v>45</v>
      </c>
      <c r="B20" s="24">
        <v>240</v>
      </c>
      <c r="C20" s="24">
        <v>180</v>
      </c>
      <c r="D20" s="24">
        <v>260</v>
      </c>
      <c r="E20" s="24">
        <v>220</v>
      </c>
      <c r="F20" s="24">
        <v>200</v>
      </c>
      <c r="G20" s="24">
        <v>240</v>
      </c>
      <c r="H20" s="24"/>
      <c r="I20" s="24"/>
      <c r="J20" s="24"/>
      <c r="K20" s="24"/>
      <c r="L20" s="24"/>
      <c r="M20" s="24"/>
      <c r="N20" s="20">
        <f t="shared" si="1"/>
        <v>1340</v>
      </c>
    </row>
    <row r="21" spans="1:14" ht="15.75" customHeight="1">
      <c r="A21" s="25" t="s">
        <v>46</v>
      </c>
      <c r="B21" s="26">
        <v>129</v>
      </c>
      <c r="C21" s="26">
        <v>90</v>
      </c>
      <c r="D21" s="26">
        <v>150</v>
      </c>
      <c r="E21" s="26">
        <v>110</v>
      </c>
      <c r="F21" s="26">
        <v>95</v>
      </c>
      <c r="G21" s="26">
        <v>129</v>
      </c>
      <c r="H21" s="26"/>
      <c r="I21" s="26"/>
      <c r="J21" s="26"/>
      <c r="K21" s="26"/>
      <c r="L21" s="26"/>
      <c r="M21" s="26"/>
      <c r="N21" s="27">
        <f t="shared" si="1"/>
        <v>703</v>
      </c>
    </row>
    <row r="22" spans="1:14" ht="15.75" customHeight="1">
      <c r="A22" s="23" t="s">
        <v>47</v>
      </c>
      <c r="B22" s="24">
        <v>120</v>
      </c>
      <c r="C22" s="24">
        <v>100</v>
      </c>
      <c r="D22" s="24">
        <v>130</v>
      </c>
      <c r="E22" s="24">
        <v>110</v>
      </c>
      <c r="F22" s="24">
        <v>115</v>
      </c>
      <c r="G22" s="24">
        <v>120</v>
      </c>
      <c r="H22" s="24"/>
      <c r="I22" s="24"/>
      <c r="J22" s="24"/>
      <c r="K22" s="24"/>
      <c r="L22" s="24"/>
      <c r="M22" s="24"/>
      <c r="N22" s="20">
        <f t="shared" si="1"/>
        <v>695</v>
      </c>
    </row>
    <row r="23" spans="1:14" ht="15.75" customHeight="1">
      <c r="A23" s="25" t="s">
        <v>48</v>
      </c>
      <c r="B23" s="26">
        <v>200</v>
      </c>
      <c r="C23" s="26">
        <v>150</v>
      </c>
      <c r="D23" s="26">
        <v>250</v>
      </c>
      <c r="E23" s="26">
        <v>180</v>
      </c>
      <c r="F23" s="26">
        <v>160</v>
      </c>
      <c r="G23" s="26">
        <v>200</v>
      </c>
      <c r="H23" s="26"/>
      <c r="I23" s="26"/>
      <c r="J23" s="26"/>
      <c r="K23" s="26"/>
      <c r="L23" s="26"/>
      <c r="M23" s="26"/>
      <c r="N23" s="27">
        <f t="shared" si="1"/>
        <v>1140</v>
      </c>
    </row>
    <row r="24" spans="1:14" ht="15.75" customHeight="1">
      <c r="A24" s="23" t="s">
        <v>49</v>
      </c>
      <c r="B24" s="24">
        <v>310</v>
      </c>
      <c r="C24" s="24">
        <v>310</v>
      </c>
      <c r="D24" s="24">
        <v>310</v>
      </c>
      <c r="E24" s="24">
        <v>310</v>
      </c>
      <c r="F24" s="24">
        <v>310</v>
      </c>
      <c r="G24" s="24">
        <v>310</v>
      </c>
      <c r="H24" s="24"/>
      <c r="I24" s="24"/>
      <c r="J24" s="24"/>
      <c r="K24" s="24"/>
      <c r="L24" s="24"/>
      <c r="M24" s="24"/>
      <c r="N24" s="20">
        <f t="shared" si="1"/>
        <v>1860</v>
      </c>
    </row>
    <row r="25" spans="1:14" ht="15.75" customHeight="1">
      <c r="A25" s="25" t="s">
        <v>39</v>
      </c>
      <c r="B25" s="26">
        <v>180</v>
      </c>
      <c r="C25" s="26">
        <v>160</v>
      </c>
      <c r="D25" s="26">
        <v>220</v>
      </c>
      <c r="E25" s="26">
        <v>190</v>
      </c>
      <c r="F25" s="26">
        <v>170</v>
      </c>
      <c r="G25" s="26">
        <v>180</v>
      </c>
      <c r="H25" s="26"/>
      <c r="I25" s="26"/>
      <c r="J25" s="26"/>
      <c r="K25" s="26"/>
      <c r="L25" s="26"/>
      <c r="M25" s="26"/>
      <c r="N25" s="27">
        <f t="shared" si="1"/>
        <v>1100</v>
      </c>
    </row>
    <row r="26" spans="1:14" ht="18" customHeight="1">
      <c r="A26" s="21" t="s">
        <v>50</v>
      </c>
      <c r="B26" s="22">
        <f t="shared" ref="B26:N26" si="2">SUM(B18:B25)</f>
        <v>2401</v>
      </c>
      <c r="C26" s="22">
        <f t="shared" si="2"/>
        <v>2140</v>
      </c>
      <c r="D26" s="22">
        <f t="shared" si="2"/>
        <v>2630</v>
      </c>
      <c r="E26" s="22">
        <f t="shared" si="2"/>
        <v>2360</v>
      </c>
      <c r="F26" s="22">
        <f t="shared" si="2"/>
        <v>2245</v>
      </c>
      <c r="G26" s="22">
        <f t="shared" si="2"/>
        <v>2401</v>
      </c>
      <c r="H26" s="22">
        <f t="shared" si="2"/>
        <v>0</v>
      </c>
      <c r="I26" s="22">
        <f t="shared" si="2"/>
        <v>0</v>
      </c>
      <c r="J26" s="22">
        <f t="shared" si="2"/>
        <v>0</v>
      </c>
      <c r="K26" s="22">
        <f t="shared" si="2"/>
        <v>0</v>
      </c>
      <c r="L26" s="22">
        <f t="shared" si="2"/>
        <v>0</v>
      </c>
      <c r="M26" s="22">
        <f t="shared" si="2"/>
        <v>0</v>
      </c>
      <c r="N26" s="22">
        <f t="shared" si="2"/>
        <v>14177</v>
      </c>
    </row>
    <row r="27" spans="1:14"/>
    <row r="28" spans="1:14" ht="21.75" customHeight="1">
      <c r="A28" s="13" t="s">
        <v>51</v>
      </c>
      <c r="B28" s="14"/>
      <c r="C28" s="14"/>
      <c r="F28" s="39" t="s">
        <v>52</v>
      </c>
      <c r="G28" s="14"/>
      <c r="H28" s="14"/>
      <c r="I28" s="14"/>
    </row>
    <row r="29" spans="1:14" ht="18" customHeight="1">
      <c r="A29" s="16" t="s">
        <v>53</v>
      </c>
      <c r="B29" s="17" t="s">
        <v>54</v>
      </c>
      <c r="C29" s="17" t="s">
        <v>36</v>
      </c>
      <c r="F29" s="16" t="s">
        <v>53</v>
      </c>
      <c r="G29" s="17" t="s">
        <v>55</v>
      </c>
      <c r="H29" s="17" t="s">
        <v>56</v>
      </c>
      <c r="I29" s="17" t="s">
        <v>57</v>
      </c>
    </row>
    <row r="30" spans="1:14" ht="15.75" customHeight="1">
      <c r="A30" s="35" t="s">
        <v>58</v>
      </c>
      <c r="B30" s="37">
        <v>9</v>
      </c>
      <c r="C30" s="29">
        <v>134.91</v>
      </c>
      <c r="F30" s="35" t="s">
        <v>58</v>
      </c>
      <c r="G30" s="29">
        <v>13.9</v>
      </c>
      <c r="H30" s="29">
        <v>14.99</v>
      </c>
      <c r="I30" s="30">
        <f>IF(G30&gt;0,(H30-G30)/G30,0)</f>
        <v>7.8417266187050347E-2</v>
      </c>
    </row>
    <row r="31" spans="1:14" ht="15.75" customHeight="1">
      <c r="A31" s="36" t="s">
        <v>59</v>
      </c>
      <c r="B31" s="38">
        <v>18</v>
      </c>
      <c r="C31" s="32">
        <v>116.82</v>
      </c>
      <c r="F31" s="36" t="s">
        <v>60</v>
      </c>
      <c r="G31" s="32">
        <v>8.49</v>
      </c>
      <c r="H31" s="32">
        <v>9.7899999999999991</v>
      </c>
      <c r="I31" s="33">
        <f>IF(G31&gt;0,(H31-G31)/G31,0)</f>
        <v>0.15312131919905758</v>
      </c>
    </row>
    <row r="32" spans="1:14" ht="15.75" customHeight="1">
      <c r="A32" s="35" t="s">
        <v>61</v>
      </c>
      <c r="B32" s="37">
        <v>14</v>
      </c>
      <c r="C32" s="29">
        <v>98.7</v>
      </c>
      <c r="F32" s="35" t="s">
        <v>62</v>
      </c>
      <c r="G32" s="29">
        <v>24.9</v>
      </c>
      <c r="H32" s="29">
        <v>27.5</v>
      </c>
      <c r="I32" s="30">
        <f>IF(G32&gt;0,(H32-G32)/G32,0)</f>
        <v>0.10441767068273099</v>
      </c>
    </row>
    <row r="33" spans="1:9" ht="15.75" customHeight="1">
      <c r="A33" s="36" t="s">
        <v>63</v>
      </c>
      <c r="B33" s="38">
        <v>11</v>
      </c>
      <c r="C33" s="32">
        <v>87.89</v>
      </c>
      <c r="F33" s="36" t="s">
        <v>64</v>
      </c>
      <c r="G33" s="32">
        <v>6.49</v>
      </c>
      <c r="H33" s="32">
        <v>7.2</v>
      </c>
      <c r="I33" s="33">
        <f>IF(G33&gt;0,(H33-G33)/G33,0)</f>
        <v>0.10939907550077041</v>
      </c>
    </row>
    <row r="34" spans="1:9" ht="15.75" customHeight="1">
      <c r="A34" s="35" t="s">
        <v>65</v>
      </c>
      <c r="B34" s="37">
        <v>8</v>
      </c>
      <c r="C34" s="29">
        <v>23.92</v>
      </c>
      <c r="F34" s="35" t="s">
        <v>59</v>
      </c>
      <c r="G34" s="29">
        <v>5.99</v>
      </c>
      <c r="H34" s="29">
        <v>6.49</v>
      </c>
      <c r="I34" s="30">
        <f>IF(G34&gt;0,(H34-G34)/G34,0)</f>
        <v>8.347245409015025E-2</v>
      </c>
    </row>
    <row r="35" spans="1:9"/>
  </sheetData>
  <mergeCells count="9">
    <mergeCell ref="C6:D6"/>
    <mergeCell ref="J6:K6"/>
    <mergeCell ref="C7:D7"/>
    <mergeCell ref="J7:K7"/>
    <mergeCell ref="A1:N1"/>
    <mergeCell ref="C4:D4"/>
    <mergeCell ref="J4:K4"/>
    <mergeCell ref="C5:D5"/>
    <mergeCell ref="J5:K5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88A89"/>
  </sheetPr>
  <dimension ref="A1:N34"/>
  <sheetViews>
    <sheetView showGridLines="0" zoomScale="67" zoomScaleNormal="67" workbookViewId="0">
      <pane ySplit="1" topLeftCell="A2" activePane="bottomLeft" state="frozen"/>
      <selection pane="bottomLeft" activeCell="A18" sqref="A18"/>
    </sheetView>
  </sheetViews>
  <sheetFormatPr defaultColWidth="0" defaultRowHeight="14.4" zeroHeight="1"/>
  <cols>
    <col min="1" max="1" width="24" style="7" customWidth="1"/>
    <col min="2" max="13" width="10" style="7" customWidth="1"/>
    <col min="14" max="14" width="12.44140625" style="7" customWidth="1"/>
    <col min="15" max="15" width="0.6640625" customWidth="1"/>
    <col min="16" max="16384" width="8.6640625" hidden="1"/>
  </cols>
  <sheetData>
    <row r="1" spans="1:14" ht="45.75" customHeight="1">
      <c r="A1" s="6" t="s">
        <v>66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6" customHeight="1"/>
    <row r="3" spans="1:14" ht="21.75" customHeight="1">
      <c r="A3" s="13" t="s">
        <v>12</v>
      </c>
      <c r="B3" s="14"/>
      <c r="C3" s="14"/>
      <c r="H3" s="13" t="s">
        <v>13</v>
      </c>
      <c r="I3" s="14"/>
      <c r="J3" s="14"/>
    </row>
    <row r="4" spans="1:14" ht="18" customHeight="1">
      <c r="A4" s="15" t="s">
        <v>14</v>
      </c>
      <c r="C4" s="5">
        <f>N14</f>
        <v>0</v>
      </c>
      <c r="D4" s="5"/>
      <c r="H4" s="15" t="s">
        <v>15</v>
      </c>
      <c r="J4" s="4">
        <v>3000</v>
      </c>
      <c r="K4" s="4"/>
    </row>
    <row r="5" spans="1:14" ht="18" customHeight="1">
      <c r="A5" s="15" t="s">
        <v>16</v>
      </c>
      <c r="C5" s="5">
        <f>N26</f>
        <v>0</v>
      </c>
      <c r="D5" s="5"/>
      <c r="H5" s="15" t="s">
        <v>17</v>
      </c>
      <c r="J5" s="5">
        <f>C5/12</f>
        <v>0</v>
      </c>
      <c r="K5" s="5"/>
    </row>
    <row r="6" spans="1:14" ht="18" customHeight="1">
      <c r="A6" s="15" t="s">
        <v>18</v>
      </c>
      <c r="C6" s="5">
        <f>C4-C5</f>
        <v>0</v>
      </c>
      <c r="D6" s="5"/>
      <c r="H6" s="15" t="s">
        <v>19</v>
      </c>
      <c r="J6" s="3" t="str">
        <f>IF(J4=0,"defina a meta",IF(J5&gt;J4,"⚠️ Acima da meta","✅ Dentro da meta"))</f>
        <v>✅ Dentro da meta</v>
      </c>
      <c r="K6" s="3"/>
    </row>
    <row r="7" spans="1:14" ht="18" customHeight="1">
      <c r="A7" s="15" t="s">
        <v>20</v>
      </c>
      <c r="C7" s="2">
        <f>IF(C4&gt;0,C5/C4,0)</f>
        <v>0</v>
      </c>
      <c r="D7" s="2"/>
      <c r="H7" s="15" t="s">
        <v>21</v>
      </c>
      <c r="J7" s="1" t="str">
        <f>IF(J4&gt;0,REPT("█",ROUND(MIN(J5/J4,1)*10,0))&amp;REPT("░",10-ROUND(MIN(J5/J4,1)*10,0)),"")</f>
        <v>░░░░░░░░░░</v>
      </c>
      <c r="K7" s="1"/>
    </row>
    <row r="8" spans="1:14"/>
    <row r="9" spans="1:14" ht="21.75" customHeight="1">
      <c r="A9" s="13" t="s">
        <v>22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spans="1:14" ht="18" customHeight="1">
      <c r="A10" s="16" t="s">
        <v>23</v>
      </c>
      <c r="B10" s="17" t="s">
        <v>24</v>
      </c>
      <c r="C10" s="17" t="s">
        <v>25</v>
      </c>
      <c r="D10" s="17" t="s">
        <v>26</v>
      </c>
      <c r="E10" s="17" t="s">
        <v>27</v>
      </c>
      <c r="F10" s="17" t="s">
        <v>28</v>
      </c>
      <c r="G10" s="17" t="s">
        <v>29</v>
      </c>
      <c r="H10" s="17" t="s">
        <v>30</v>
      </c>
      <c r="I10" s="17" t="s">
        <v>31</v>
      </c>
      <c r="J10" s="17" t="s">
        <v>32</v>
      </c>
      <c r="K10" s="17" t="s">
        <v>33</v>
      </c>
      <c r="L10" s="17" t="s">
        <v>34</v>
      </c>
      <c r="M10" s="17" t="s">
        <v>35</v>
      </c>
      <c r="N10" s="17" t="s">
        <v>36</v>
      </c>
    </row>
    <row r="11" spans="1:14" ht="15" customHeight="1">
      <c r="A11" s="18" t="s">
        <v>37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>
        <f>SUM(B11:M11)</f>
        <v>0</v>
      </c>
    </row>
    <row r="12" spans="1:14" ht="15" customHeight="1">
      <c r="A12" s="18" t="s">
        <v>38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>
        <f>SUM(B12:M12)</f>
        <v>0</v>
      </c>
    </row>
    <row r="13" spans="1:14" ht="15" customHeight="1">
      <c r="A13" s="18" t="s">
        <v>39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>
        <f>SUM(B13:M13)</f>
        <v>0</v>
      </c>
    </row>
    <row r="14" spans="1:14" ht="18" customHeight="1">
      <c r="A14" s="21" t="s">
        <v>40</v>
      </c>
      <c r="B14" s="22">
        <f t="shared" ref="B14:N14" si="0">SUM(B11:B13)</f>
        <v>0</v>
      </c>
      <c r="C14" s="22">
        <f t="shared" si="0"/>
        <v>0</v>
      </c>
      <c r="D14" s="22">
        <f t="shared" si="0"/>
        <v>0</v>
      </c>
      <c r="E14" s="22">
        <f t="shared" si="0"/>
        <v>0</v>
      </c>
      <c r="F14" s="22">
        <f t="shared" si="0"/>
        <v>0</v>
      </c>
      <c r="G14" s="22">
        <f t="shared" si="0"/>
        <v>0</v>
      </c>
      <c r="H14" s="22">
        <f t="shared" si="0"/>
        <v>0</v>
      </c>
      <c r="I14" s="22">
        <f t="shared" si="0"/>
        <v>0</v>
      </c>
      <c r="J14" s="22">
        <f t="shared" si="0"/>
        <v>0</v>
      </c>
      <c r="K14" s="22">
        <f t="shared" si="0"/>
        <v>0</v>
      </c>
      <c r="L14" s="22">
        <f t="shared" si="0"/>
        <v>0</v>
      </c>
      <c r="M14" s="22">
        <f t="shared" si="0"/>
        <v>0</v>
      </c>
      <c r="N14" s="22">
        <f t="shared" si="0"/>
        <v>0</v>
      </c>
    </row>
    <row r="15" spans="1:14"/>
    <row r="16" spans="1:14" ht="21.75" customHeight="1">
      <c r="A16" s="13" t="s">
        <v>41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18" customHeight="1">
      <c r="A17" s="16" t="s">
        <v>42</v>
      </c>
      <c r="B17" s="17" t="s">
        <v>24</v>
      </c>
      <c r="C17" s="17" t="s">
        <v>25</v>
      </c>
      <c r="D17" s="17" t="s">
        <v>26</v>
      </c>
      <c r="E17" s="17" t="s">
        <v>27</v>
      </c>
      <c r="F17" s="17" t="s">
        <v>28</v>
      </c>
      <c r="G17" s="17" t="s">
        <v>29</v>
      </c>
      <c r="H17" s="17" t="s">
        <v>30</v>
      </c>
      <c r="I17" s="17" t="s">
        <v>31</v>
      </c>
      <c r="J17" s="17" t="s">
        <v>32</v>
      </c>
      <c r="K17" s="17" t="s">
        <v>33</v>
      </c>
      <c r="L17" s="17" t="s">
        <v>34</v>
      </c>
      <c r="M17" s="17" t="s">
        <v>35</v>
      </c>
      <c r="N17" s="17" t="s">
        <v>36</v>
      </c>
    </row>
    <row r="18" spans="1:14" ht="15.75" customHeight="1">
      <c r="A18" s="23" t="s">
        <v>43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0">
        <f t="shared" ref="N18:N25" si="1">SUM(B18:M18)</f>
        <v>0</v>
      </c>
    </row>
    <row r="19" spans="1:14" ht="15.75" customHeight="1">
      <c r="A19" s="25" t="s">
        <v>44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7">
        <f t="shared" si="1"/>
        <v>0</v>
      </c>
    </row>
    <row r="20" spans="1:14" ht="15.75" customHeight="1">
      <c r="A20" s="23" t="s">
        <v>45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0">
        <f t="shared" si="1"/>
        <v>0</v>
      </c>
    </row>
    <row r="21" spans="1:14" ht="15.75" customHeight="1">
      <c r="A21" s="25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7">
        <f t="shared" si="1"/>
        <v>0</v>
      </c>
    </row>
    <row r="22" spans="1:14" ht="15.75" customHeight="1">
      <c r="A22" s="23" t="s">
        <v>47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0">
        <f t="shared" si="1"/>
        <v>0</v>
      </c>
    </row>
    <row r="23" spans="1:14" ht="15.75" customHeight="1">
      <c r="A23" s="25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7">
        <f t="shared" si="1"/>
        <v>0</v>
      </c>
    </row>
    <row r="24" spans="1:14" ht="15.75" customHeight="1">
      <c r="A24" s="23" t="s">
        <v>49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0">
        <f t="shared" si="1"/>
        <v>0</v>
      </c>
    </row>
    <row r="25" spans="1:14" ht="15.75" customHeight="1">
      <c r="A25" s="25" t="s">
        <v>39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7">
        <f t="shared" si="1"/>
        <v>0</v>
      </c>
    </row>
    <row r="26" spans="1:14" ht="18" customHeight="1">
      <c r="A26" s="21" t="s">
        <v>50</v>
      </c>
      <c r="B26" s="22">
        <f t="shared" ref="B26:N26" si="2">SUM(B18:B25)</f>
        <v>0</v>
      </c>
      <c r="C26" s="22">
        <f t="shared" si="2"/>
        <v>0</v>
      </c>
      <c r="D26" s="22">
        <f t="shared" si="2"/>
        <v>0</v>
      </c>
      <c r="E26" s="22">
        <f t="shared" si="2"/>
        <v>0</v>
      </c>
      <c r="F26" s="22">
        <f t="shared" si="2"/>
        <v>0</v>
      </c>
      <c r="G26" s="22">
        <f t="shared" si="2"/>
        <v>0</v>
      </c>
      <c r="H26" s="22">
        <f t="shared" si="2"/>
        <v>0</v>
      </c>
      <c r="I26" s="22">
        <f t="shared" si="2"/>
        <v>0</v>
      </c>
      <c r="J26" s="22">
        <f t="shared" si="2"/>
        <v>0</v>
      </c>
      <c r="K26" s="22">
        <f t="shared" si="2"/>
        <v>0</v>
      </c>
      <c r="L26" s="22">
        <f t="shared" si="2"/>
        <v>0</v>
      </c>
      <c r="M26" s="22">
        <f t="shared" si="2"/>
        <v>0</v>
      </c>
      <c r="N26" s="22">
        <f t="shared" si="2"/>
        <v>0</v>
      </c>
    </row>
    <row r="27" spans="1:14"/>
    <row r="28" spans="1:14" ht="21.75" customHeight="1">
      <c r="A28" s="13" t="s">
        <v>51</v>
      </c>
      <c r="B28" s="14"/>
      <c r="C28" s="14"/>
      <c r="F28" s="13" t="s">
        <v>52</v>
      </c>
      <c r="G28" s="14"/>
      <c r="H28" s="14"/>
      <c r="I28" s="14"/>
    </row>
    <row r="29" spans="1:14" ht="18" customHeight="1">
      <c r="A29" s="16" t="s">
        <v>53</v>
      </c>
      <c r="B29" s="17" t="s">
        <v>54</v>
      </c>
      <c r="C29" s="17" t="s">
        <v>36</v>
      </c>
      <c r="F29" s="16" t="s">
        <v>53</v>
      </c>
      <c r="G29" s="17" t="s">
        <v>55</v>
      </c>
      <c r="H29" s="17" t="s">
        <v>56</v>
      </c>
      <c r="I29" s="17" t="s">
        <v>57</v>
      </c>
    </row>
    <row r="30" spans="1:14" ht="15.75" customHeight="1">
      <c r="A30" s="23"/>
      <c r="B30" s="28"/>
      <c r="C30" s="29"/>
      <c r="F30" s="23"/>
      <c r="G30" s="29"/>
      <c r="H30" s="29"/>
      <c r="I30" s="30"/>
    </row>
    <row r="31" spans="1:14" ht="15.75" customHeight="1">
      <c r="A31" s="25"/>
      <c r="B31" s="31"/>
      <c r="C31" s="32"/>
      <c r="F31" s="25"/>
      <c r="G31" s="32"/>
      <c r="H31" s="32"/>
      <c r="I31" s="33"/>
    </row>
    <row r="32" spans="1:14" ht="15.75" customHeight="1">
      <c r="A32" s="23"/>
      <c r="B32" s="28"/>
      <c r="C32" s="29"/>
      <c r="F32" s="23"/>
      <c r="G32" s="29"/>
      <c r="H32" s="29"/>
      <c r="I32" s="30"/>
    </row>
    <row r="33" spans="1:9" ht="15.75" customHeight="1">
      <c r="A33" s="25"/>
      <c r="B33" s="31"/>
      <c r="C33" s="32"/>
      <c r="F33" s="25"/>
      <c r="G33" s="32"/>
      <c r="H33" s="32"/>
      <c r="I33" s="33"/>
    </row>
    <row r="34" spans="1:9" ht="15.75" customHeight="1">
      <c r="A34" s="23"/>
      <c r="B34" s="28"/>
      <c r="C34" s="29"/>
      <c r="F34" s="23"/>
      <c r="G34" s="29"/>
      <c r="H34" s="29"/>
      <c r="I34" s="30"/>
    </row>
  </sheetData>
  <mergeCells count="9">
    <mergeCell ref="C6:D6"/>
    <mergeCell ref="J6:K6"/>
    <mergeCell ref="C7:D7"/>
    <mergeCell ref="J7:K7"/>
    <mergeCell ref="A1:N1"/>
    <mergeCell ref="C4:D4"/>
    <mergeCell ref="J4:K4"/>
    <mergeCell ref="C5:D5"/>
    <mergeCell ref="J5:K5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Como usar</vt:lpstr>
      <vt:lpstr>2026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Yoseff Kusniec Demek</cp:lastModifiedBy>
  <cp:revision>0</cp:revision>
  <dcterms:created xsi:type="dcterms:W3CDTF">2026-06-14T02:27:05Z</dcterms:created>
  <dcterms:modified xsi:type="dcterms:W3CDTF">2026-06-27T22:01:05Z</dcterms:modified>
  <dc:language>en-US</dc:language>
</cp:coreProperties>
</file>