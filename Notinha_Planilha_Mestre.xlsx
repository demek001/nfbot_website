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6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_rels/drawing4.xml.rels" ContentType="application/vnd.openxmlformats-package.relationships+xml"/>
  <Override PartName="/xl/drawings/_rels/drawing13.xml.rels" ContentType="application/vnd.openxmlformats-package.relationships+xml"/>
  <Override PartName="/xl/drawings/_rels/drawing8.xml.rels" ContentType="application/vnd.openxmlformats-package.relationships+xml"/>
  <Override PartName="/xl/drawings/_rels/drawing14.xml.rels" ContentType="application/vnd.openxmlformats-package.relationships+xml"/>
  <Override PartName="/xl/drawings/_rels/drawing9.xml.rels" ContentType="application/vnd.openxmlformats-package.relationships+xml"/>
  <Override PartName="/xl/drawings/_rels/drawing5.xml.rels" ContentType="application/vnd.openxmlformats-package.relationships+xml"/>
  <Override PartName="/xl/drawings/_rels/drawing10.xml.rels" ContentType="application/vnd.openxmlformats-package.relationships+xml"/>
  <Override PartName="/xl/drawings/_rels/drawing6.xml.rels" ContentType="application/vnd.openxmlformats-package.relationships+xml"/>
  <Override PartName="/xl/drawings/_rels/drawing11.xml.rels" ContentType="application/vnd.openxmlformats-package.relationships+xml"/>
  <Override PartName="/xl/drawings/_rels/drawing1.xml.rels" ContentType="application/vnd.openxmlformats-package.relationships+xml"/>
  <Override PartName="/xl/drawings/_rels/drawing7.xml.rels" ContentType="application/vnd.openxmlformats-package.relationships+xml"/>
  <Override PartName="/xl/drawings/_rels/drawing12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Janeiro" sheetId="2" state="visible" r:id="rId4"/>
    <sheet name="Fevereiro" sheetId="3" state="visible" r:id="rId5"/>
    <sheet name="Março" sheetId="4" state="visible" r:id="rId6"/>
    <sheet name="Abril" sheetId="5" state="visible" r:id="rId7"/>
    <sheet name="Maio" sheetId="6" state="visible" r:id="rId8"/>
    <sheet name="Junho" sheetId="7" state="visible" r:id="rId9"/>
    <sheet name="Julho" sheetId="8" state="visible" r:id="rId10"/>
    <sheet name="Agosto" sheetId="9" state="visible" r:id="rId11"/>
    <sheet name="Setembro" sheetId="10" state="visible" r:id="rId12"/>
    <sheet name="Outubro" sheetId="11" state="visible" r:id="rId13"/>
    <sheet name="Novembro" sheetId="12" state="visible" r:id="rId14"/>
    <sheet name="Dezembro" sheetId="13" state="visible" r:id="rId15"/>
    <sheet name="Visão Anual" sheetId="14" state="visible" r:id="rId16"/>
    <sheet name="Metas Financeiras" sheetId="15" state="visible" r:id="rId17"/>
    <sheet name="Investimento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<sst xmlns="http://schemas.openxmlformats.org/spreadsheetml/2006/main" count="920" uniqueCount="150">
  <si>
    <t xml:space="preserve">Como usar · Notinha</t>
  </si>
  <si>
    <t xml:space="preserve">O QUE A NOTINHA PREENCHE</t>
  </si>
  <si>
    <t xml:space="preserve">• O bloco "Gastos do Mês" (colunas A–E) de cada aba mensal: cada nota fiscal que você manda no WhatsApp vira uma linha, com Forma e Categoria já coloridas.</t>
  </si>
  <si>
    <t xml:space="preserve">O QUE VOCÊ PREENCHE</t>
  </si>
  <si>
    <t xml:space="preserve">• Fixos e Cartão de Crédito (colunas G–I).</t>
  </si>
  <si>
    <t xml:space="preserve">• Entradas: Salário e Bônus.</t>
  </si>
  <si>
    <t xml:space="preserve">• Saídas: só as linhas Reserva e Metas (o quanto você guardou). Débito, Crédito, Pix, Dinheiro e Voucher são somados automaticamente.</t>
  </si>
  <si>
    <t xml:space="preserve">• Investimentos: Reserva e Renda fixa.</t>
  </si>
  <si>
    <t xml:space="preserve">• Na tabela de categorias, "Valor esperado" é a sua meta de gasto por categoria.</t>
  </si>
  <si>
    <t xml:space="preserve">• "Contas a pagar": suas faturas e boletos, com data de vencimento e o checkbox Pago? — é um lembrete do que ainda falta pagar.</t>
  </si>
  <si>
    <t xml:space="preserve">SAÍDAS × CONTAS A PAGAR (a diferença)</t>
  </si>
  <si>
    <t xml:space="preserve">• SAÍDAS por forma de pagamento = o que JÁ saiu no mês, somado por forma (Débito, Crédito, Pix...). É o que fecha o seu Saldo.</t>
  </si>
  <si>
    <t xml:space="preserve">• CONTAS A PAGAR = o que ainda VAI sair (faturas/boletos a vencer). É um checklist, não entra no Saldo.</t>
  </si>
  <si>
    <t xml:space="preserve">COMO FUNCIONA</t>
  </si>
  <si>
    <t xml:space="preserve">• Cada aba mensal se atualiza sozinha: totais, saldo, categorias, insights e gráfico de pizza.</t>
  </si>
  <si>
    <t xml:space="preserve">• Visão Anual, Metas e Investimento puxam os números das abas mensais.</t>
  </si>
  <si>
    <t xml:space="preserve">• Forma e Categoria têm listas suspensas e viram "pills" coloridos automaticamente (as 12 categorias que a Notinha usa).</t>
  </si>
  <si>
    <t xml:space="preserve">• Na Visão Anual, os blocos "Top produtos" e "Maiores variações de preço" são o diferencial item-a-item da Notinha.</t>
  </si>
  <si>
    <t xml:space="preserve">LEGENDA DE CORES</t>
  </si>
  <si>
    <t xml:space="preserve">Cabeçalho de bloco (teal Notinha)</t>
  </si>
  <si>
    <t xml:space="preserve">Faixa de destaque: totais e saldo</t>
  </si>
  <si>
    <t xml:space="preserve">Célula de preenchimento</t>
  </si>
  <si>
    <t xml:space="preserve">Janeiro · Notinha 2026</t>
  </si>
  <si>
    <t xml:space="preserve">GASTOS DO MÊS — lançados pela Notinha</t>
  </si>
  <si>
    <t xml:space="preserve">Total do mês</t>
  </si>
  <si>
    <t xml:space="preserve">FIXOS (você preenche)</t>
  </si>
  <si>
    <t xml:space="preserve">GASTOS DO MÊS POR CATEGORIA</t>
  </si>
  <si>
    <t xml:space="preserve">Nome</t>
  </si>
  <si>
    <t xml:space="preserve">Data</t>
  </si>
  <si>
    <t xml:space="preserve">Forma</t>
  </si>
  <si>
    <t xml:space="preserve">Categoria</t>
  </si>
  <si>
    <t xml:space="preserve">Valor</t>
  </si>
  <si>
    <t xml:space="preserve">Valor esperado</t>
  </si>
  <si>
    <t xml:space="preserve">Valor gasto</t>
  </si>
  <si>
    <t xml:space="preserve">%</t>
  </si>
  <si>
    <t xml:space="preserve">Supermercado (exemplo)</t>
  </si>
  <si>
    <t xml:space="preserve">Débito</t>
  </si>
  <si>
    <t xml:space="preserve">Mercado</t>
  </si>
  <si>
    <t xml:space="preserve">Alimentação</t>
  </si>
  <si>
    <t xml:space="preserve">Restaurante (exemplo)</t>
  </si>
  <si>
    <t xml:space="preserve">Crédito</t>
  </si>
  <si>
    <t xml:space="preserve">Transporte (exemplo)</t>
  </si>
  <si>
    <t xml:space="preserve">Pix</t>
  </si>
  <si>
    <t xml:space="preserve">Transporte</t>
  </si>
  <si>
    <t xml:space="preserve">Farmácia</t>
  </si>
  <si>
    <t xml:space="preserve">Conta de casa (exemplo)</t>
  </si>
  <si>
    <t xml:space="preserve">Casa</t>
  </si>
  <si>
    <t xml:space="preserve">Combustível</t>
  </si>
  <si>
    <t xml:space="preserve">Farmácia (exemplo)</t>
  </si>
  <si>
    <t xml:space="preserve">Dinheiro</t>
  </si>
  <si>
    <t xml:space="preserve">Vestuário</t>
  </si>
  <si>
    <t xml:space="preserve">Eletrônicos</t>
  </si>
  <si>
    <t xml:space="preserve">Saúde</t>
  </si>
  <si>
    <t xml:space="preserve">CARTÃO DE CRÉDITO (você preenche)</t>
  </si>
  <si>
    <t xml:space="preserve">Lazer</t>
  </si>
  <si>
    <t xml:space="preserve">Serviços</t>
  </si>
  <si>
    <t xml:space="preserve">Outros</t>
  </si>
  <si>
    <t xml:space="preserve">Total</t>
  </si>
  <si>
    <t xml:space="preserve">CONTAS A PAGAR (faturas)</t>
  </si>
  <si>
    <t xml:space="preserve">Descrição</t>
  </si>
  <si>
    <t xml:space="preserve">Vencimento</t>
  </si>
  <si>
    <t xml:space="preserve">Pago?</t>
  </si>
  <si>
    <t xml:space="preserve">ENTRADAS (você preenche)</t>
  </si>
  <si>
    <t xml:space="preserve">Salário</t>
  </si>
  <si>
    <t xml:space="preserve">Bônus</t>
  </si>
  <si>
    <t xml:space="preserve">SAÍDAS POR FORMA DE PAGAMENTO</t>
  </si>
  <si>
    <t xml:space="preserve">INSIGHTS DO MÊS</t>
  </si>
  <si>
    <t xml:space="preserve">Nº de lançamentos</t>
  </si>
  <si>
    <t xml:space="preserve">Maior compra</t>
  </si>
  <si>
    <t xml:space="preserve">Voucher</t>
  </si>
  <si>
    <t xml:space="preserve">Onde foi a maior compra</t>
  </si>
  <si>
    <t xml:space="preserve">Categoria campeã</t>
  </si>
  <si>
    <t xml:space="preserve">Reserva</t>
  </si>
  <si>
    <t xml:space="preserve">Ticket médio</t>
  </si>
  <si>
    <t xml:space="preserve">Metas</t>
  </si>
  <si>
    <t xml:space="preserve">Gasto médio por dia</t>
  </si>
  <si>
    <t xml:space="preserve">Total de saídas</t>
  </si>
  <si>
    <t xml:space="preserve">% das entradas já gasto</t>
  </si>
  <si>
    <t xml:space="preserve">INVESTIMENTOS</t>
  </si>
  <si>
    <t xml:space="preserve">Renda fixa</t>
  </si>
  <si>
    <t xml:space="preserve">SALDO DO MÊS  (Entradas − Saídas)</t>
  </si>
  <si>
    <t xml:space="preserve">Fevereiro · Notinha 2026</t>
  </si>
  <si>
    <t xml:space="preserve">Março · Notinha 2026</t>
  </si>
  <si>
    <t xml:space="preserve">Abril · Notinha 2026</t>
  </si>
  <si>
    <t xml:space="preserve">Maio · Notinha 2026</t>
  </si>
  <si>
    <t xml:space="preserve">Junho · Notinha 2026</t>
  </si>
  <si>
    <t xml:space="preserve">Julho · Notinha 2026</t>
  </si>
  <si>
    <t xml:space="preserve">Agosto · Notinha 2026</t>
  </si>
  <si>
    <t xml:space="preserve">Setembro · Notinha 2026</t>
  </si>
  <si>
    <t xml:space="preserve">Outubro · Notinha 2026</t>
  </si>
  <si>
    <t xml:space="preserve">Novembro · Notinha 2026</t>
  </si>
  <si>
    <t xml:space="preserve">Dezembro · Notinha 2026</t>
  </si>
  <si>
    <t xml:space="preserve">Visão Anual · Notinha 2026</t>
  </si>
  <si>
    <t xml:space="preserve">RESUMO MENSAL</t>
  </si>
  <si>
    <t xml:space="preserve">Mês</t>
  </si>
  <si>
    <t xml:space="preserve">Total Entradas</t>
  </si>
  <si>
    <t xml:space="preserve">Total Saídas</t>
  </si>
  <si>
    <t xml:space="preserve">Saldo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</si>
  <si>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</si>
  <si>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</si>
  <si>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</si>
  <si>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</si>
  <si>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</si>
  <si>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</si>
  <si>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</si>
  <si>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</si>
  <si>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</si>
  <si>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</si>
  <si>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</si>
  <si>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</si>
  <si>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 DO ANO</t>
  </si>
  <si>
    <t xml:space="preserve">GASTOS POR CATEGORIA × MÊS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</si>
  <si>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</si>
  <si>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</si>
  <si>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</si>
  <si>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</si>
  <si>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</si>
  <si>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</si>
  <si>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</si>
  <si>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</si>
  <si>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</si>
  <si>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</si>
  <si>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</si>
  <si>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</si>
  <si>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TOP PRODUTOS MAIS COMPRADOS</t>
  </si>
  <si>
    <t xml:space="preserve">MAIORES VARIAÇÕES DE PREÇO</t>
  </si>
  <si>
    <t xml:space="preserve">Produto</t>
  </si>
  <si>
    <t xml:space="preserve">Vezes</t>
  </si>
  <si>
    <t xml:space="preserve">Gasto total</t>
  </si>
  <si>
    <t xml:space="preserve">Antes</t>
  </si>
  <si>
    <t xml:space="preserve">Agora</t>
  </si>
  <si>
    <t xml:space="preserve">Variação</t>
  </si>
  <si>
    <t xml:space="preserve">INSIGHTS DO ANO</t>
  </si>
  <si>
    <t xml:space="preserve">Mês com maior gasto</t>
  </si>
  <si>
    <t xml:space="preserve">Mês com maior saldo</t>
  </si>
  <si>
    <t xml:space="preserve">Categoria campeã do ano</t>
  </si>
  <si>
    <t xml:space="preserve">Média mensal de saídas</t>
  </si>
  <si>
    <t xml:space="preserve">Total investido no ano</t>
  </si>
  <si>
    <t xml:space="preserve">Taxa de poupança (Saldo ÷ Entradas)</t>
  </si>
  <si>
    <t xml:space="preserve">Metas Financeiras · Notinha</t>
  </si>
  <si>
    <t xml:space="preserve">METAS (preencha Meta, Valor alvo, Já guardado e Prazo)</t>
  </si>
  <si>
    <t xml:space="preserve">Meta</t>
  </si>
  <si>
    <t xml:space="preserve">Valor alvo</t>
  </si>
  <si>
    <t xml:space="preserve">Já guardado</t>
  </si>
  <si>
    <t xml:space="preserve">Falta</t>
  </si>
  <si>
    <t xml:space="preserve">% concluído</t>
  </si>
  <si>
    <t xml:space="preserve">Prazo</t>
  </si>
  <si>
    <t xml:space="preserve">Reserva de emergência (exemplo)</t>
  </si>
  <si>
    <t xml:space="preserve">Investimento · Notinha</t>
  </si>
  <si>
    <t xml:space="preserve">INVESTIMENTOS POR MÊS (puxa das abas mensais)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</si>
</sst>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"/>
    <numFmt numFmtId="166" formatCode="dd/mm/yyyy"/>
    <numFmt numFmtId="167" formatCode="0.0%"/>
    <numFmt numFmtId="168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202C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288A89"/>
        <bgColor rgb="FF319795"/>
      </patternFill>
    </fill>
    <fill>
      <patternFill patternType="solid">
        <fgColor rgb="FF0D1117"/>
        <bgColor rgb="FF1A1A1A"/>
      </patternFill>
    </fill>
    <fill>
      <patternFill patternType="solid">
        <fgColor rgb="FFF4F6F6"/>
        <bgColor rgb="FFFFFFFF"/>
      </patternFill>
    </fill>
    <fill>
      <patternFill patternType="solid">
        <fgColor rgb="FF3182CE"/>
        <bgColor rgb="FF4F81BD"/>
      </patternFill>
    </fill>
    <fill>
      <patternFill patternType="solid">
        <fgColor rgb="FF1F7A6D"/>
        <bgColor rgb="FF2C7A7B"/>
      </patternFill>
    </fill>
    <fill>
      <patternFill patternType="solid">
        <fgColor rgb="FFE8743B"/>
        <bgColor rgb="FFDD6B20"/>
      </patternFill>
    </fill>
    <fill>
      <patternFill patternType="solid">
        <fgColor rgb="FF805AD5"/>
        <bgColor rgb="FF725990"/>
      </patternFill>
    </fill>
    <fill>
      <patternFill patternType="solid">
        <fgColor rgb="FF319795"/>
        <bgColor rgb="FF288A89"/>
      </patternFill>
    </fill>
    <fill>
      <patternFill patternType="solid">
        <fgColor rgb="FF2B6CB0"/>
        <bgColor rgb="FF4672A8"/>
      </patternFill>
    </fill>
    <fill>
      <patternFill patternType="solid">
        <fgColor rgb="FF2E8B57"/>
        <bgColor rgb="FF288A89"/>
      </patternFill>
    </fill>
    <fill>
      <patternFill patternType="solid">
        <fgColor rgb="FF2C7A7B"/>
        <bgColor rgb="FF1F7A6D"/>
      </patternFill>
    </fill>
    <fill>
      <patternFill patternType="solid">
        <fgColor rgb="FFB7791F"/>
        <bgColor rgb="FFDD6B20"/>
      </patternFill>
    </fill>
    <fill>
      <patternFill patternType="solid">
        <fgColor rgb="FF38A169"/>
        <bgColor rgb="FF319795"/>
      </patternFill>
    </fill>
    <fill>
      <patternFill patternType="solid">
        <fgColor rgb="FF4C51BF"/>
        <bgColor rgb="FF4672A8"/>
      </patternFill>
    </fill>
    <fill>
      <patternFill patternType="solid">
        <fgColor rgb="FFC53030"/>
        <bgColor rgb="FFAB4744"/>
      </patternFill>
    </fill>
    <fill>
      <patternFill patternType="solid">
        <fgColor rgb="FFD53F8C"/>
        <bgColor rgb="FFAB4744"/>
      </patternFill>
    </fill>
    <fill>
      <patternFill patternType="solid">
        <fgColor rgb="FF4A5568"/>
        <bgColor rgb="FF725990"/>
      </patternFill>
    </fill>
    <fill>
      <patternFill patternType="solid">
        <fgColor rgb="FFA0AEC0"/>
        <bgColor rgb="FF93A9CE"/>
      </patternFill>
    </fill>
    <fill>
      <patternFill patternType="solid">
        <fgColor rgb="FFDD6B20"/>
        <bgColor rgb="FFE8743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3E9E9"/>
      </left>
      <right style="thin">
        <color rgb="FFE3E9E9"/>
      </right>
      <top style="thin">
        <color rgb="FFE3E9E9"/>
      </top>
      <bottom style="thin">
        <color rgb="FFE3E9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ont>
        <b val="1"/>
        <color rgb="FFFFFFFF"/>
      </font>
      <fill>
        <patternFill>
          <bgColor rgb="FF3182CE"/>
        </patternFill>
      </fill>
    </dxf>
    <dxf>
      <font>
        <b val="1"/>
        <color rgb="FFFFFFFF"/>
      </font>
      <fill>
        <patternFill>
          <bgColor rgb="FF805AD5"/>
        </patternFill>
      </fill>
    </dxf>
    <dxf>
      <font>
        <b val="1"/>
        <color rgb="FFFFFFFF"/>
      </font>
      <fill>
        <patternFill>
          <bgColor rgb="FF319795"/>
        </patternFill>
      </fill>
    </dxf>
    <dxf>
      <font>
        <b val="1"/>
        <color rgb="FFFFFFFF"/>
      </font>
      <fill>
        <patternFill>
          <bgColor rgb="FF38A169"/>
        </patternFill>
      </fill>
    </dxf>
    <dxf>
      <font>
        <b val="1"/>
        <color rgb="FFFFFFFF"/>
      </font>
      <fill>
        <patternFill>
          <bgColor rgb="FFDD6B20"/>
        </patternFill>
      </fill>
    </dxf>
    <dxf>
      <font>
        <b val="1"/>
        <color rgb="FF1A202C"/>
      </font>
      <fill>
        <patternFill>
          <bgColor rgb="FFA0AEC0"/>
        </patternFill>
      </fill>
    </dxf>
    <dxf>
      <font>
        <b val="1"/>
        <color rgb="FFFFFFFF"/>
      </font>
      <fill>
        <patternFill>
          <bgColor rgb="FF1F7A6D"/>
        </patternFill>
      </fill>
    </dxf>
    <dxf>
      <font>
        <b val="1"/>
        <color rgb="FFFFFFFF"/>
      </font>
      <fill>
        <patternFill>
          <bgColor rgb="FFE8743B"/>
        </patternFill>
      </fill>
    </dxf>
    <dxf>
      <font>
        <b val="1"/>
        <color rgb="FFFFFFFF"/>
      </font>
      <fill>
        <patternFill>
          <bgColor rgb="FF2E8B57"/>
        </patternFill>
      </fill>
    </dxf>
    <dxf>
      <font>
        <b val="1"/>
        <color rgb="FFFFFFFF"/>
      </font>
      <fill>
        <patternFill>
          <bgColor rgb="FFB7791F"/>
        </patternFill>
      </fill>
    </dxf>
    <dxf>
      <font>
        <b val="1"/>
        <color rgb="FFFFFFFF"/>
      </font>
      <fill>
        <patternFill>
          <bgColor rgb="FF2B6CB0"/>
        </patternFill>
      </fill>
    </dxf>
    <dxf>
      <font>
        <b val="1"/>
        <color rgb="FFFFFFFF"/>
      </font>
      <fill>
        <patternFill>
          <bgColor rgb="FF4C51BF"/>
        </patternFill>
      </fill>
    </dxf>
    <dxf>
      <font>
        <b val="1"/>
        <color rgb="FFFFFFFF"/>
      </font>
      <fill>
        <patternFill>
          <bgColor rgb="FF2C7A7B"/>
        </patternFill>
      </fill>
    </dxf>
    <dxf>
      <font>
        <b val="1"/>
        <color rgb="FFFFFFFF"/>
      </font>
      <fill>
        <patternFill>
          <bgColor rgb="FFC53030"/>
        </patternFill>
      </fill>
    </dxf>
    <dxf>
      <font>
        <b val="1"/>
        <color rgb="FFFFFFFF"/>
      </font>
      <fill>
        <patternFill>
          <bgColor rgb="FFD53F8C"/>
        </patternFill>
      </fill>
    </dxf>
    <dxf>
      <font>
        <b val="1"/>
        <color rgb="FFFFFFFF"/>
      </font>
      <fill>
        <patternFill>
          <bgColor rgb="FF4A556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8B57"/>
      <rgbColor rgb="FF2C7A7B"/>
      <rgbColor rgb="FFB7791F"/>
      <rgbColor rgb="FF805AD5"/>
      <rgbColor rgb="FF1F7A6D"/>
      <rgbColor rgb="FFB8CD97"/>
      <rgbColor rgb="FF878787"/>
      <rgbColor rgb="FF93A9CE"/>
      <rgbColor rgb="FFAB4744"/>
      <rgbColor rgb="FFF4F6F6"/>
      <rgbColor rgb="FFE3E9E9"/>
      <rgbColor rgb="FF4672A8"/>
      <rgbColor rgb="FFE8743B"/>
      <rgbColor rgb="FF2B6CB0"/>
      <rgbColor rgb="FFD9D9D9"/>
      <rgbColor rgb="FF000080"/>
      <rgbColor rgb="FFFF00FF"/>
      <rgbColor rgb="FFFFFF00"/>
      <rgbColor rgb="FF00FFFF"/>
      <rgbColor rgb="FF4F81BD"/>
      <rgbColor rgb="FF800000"/>
      <rgbColor rgb="FF288A89"/>
      <rgbColor rgb="FF0000FF"/>
      <rgbColor rgb="FF319795"/>
      <rgbColor rgb="FFCCFFFF"/>
      <rgbColor rgb="FFCCFFCC"/>
      <rgbColor rgb="FFFFFF99"/>
      <rgbColor rgb="FF92C3D5"/>
      <rgbColor rgb="FFD09493"/>
      <rgbColor rgb="FFA0AEC0"/>
      <rgbColor rgb="FFF8B590"/>
      <rgbColor rgb="FF3182CE"/>
      <rgbColor rgb="FF4299B0"/>
      <rgbColor rgb="FF8AA64F"/>
      <rgbColor rgb="FFFFCC00"/>
      <rgbColor rgb="FFDC853E"/>
      <rgbColor rgb="FFDD6B20"/>
      <rgbColor rgb="FF725990"/>
      <rgbColor rgb="FFA99BBD"/>
      <rgbColor rgb="FF4A5568"/>
      <rgbColor rgb="FF38A169"/>
      <rgbColor rgb="FF0D1117"/>
      <rgbColor rgb="FF1A1A1A"/>
      <rgbColor rgb="FFC53030"/>
      <rgbColor rgb="FFD53F8C"/>
      <rgbColor rgb="FF4C51BF"/>
      <rgbColor rgb="FF1A20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Janeiro!M4</c:f>
              <c:strCache>
                <c:ptCount val="1"/>
                <c:pt idx="0">
                  <c:v>Valor gasto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f8b59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Janeiro!$K$5:$K$16</c:f>
              <c:strCache>
                <c:ptCount val="12"/>
                <c:pt idx="0">
                  <c:v>Alimentação</c:v>
                </c:pt>
                <c:pt idx="1">
                  <c:v>Mercado</c:v>
                </c:pt>
                <c:pt idx="2">
                  <c:v>Farmácia</c:v>
                </c:pt>
                <c:pt idx="3">
                  <c:v>Combustível</c:v>
                </c:pt>
                <c:pt idx="4">
                  <c:v>Transporte</c:v>
                </c:pt>
                <c:pt idx="5">
                  <c:v>Vestuário</c:v>
                </c:pt>
                <c:pt idx="6">
                  <c:v>Eletrônicos</c:v>
                </c:pt>
                <c:pt idx="7">
                  <c:v>Casa</c:v>
                </c:pt>
                <c:pt idx="8">
                  <c:v>Saúde</c:v>
                </c:pt>
                <c:pt idx="9">
                  <c:v>Lazer</c:v>
                </c:pt>
                <c:pt idx="10">
                  <c:v>Serviços</c:v>
                </c:pt>
                <c:pt idx="11">
                  <c:v>Outros</c:v>
                </c:pt>
              </c:strCache>
            </c:strRef>
          </c:cat>
          <c:val>
            <c:numRef>
              <c:f>Janeiro!$M$5:$M$16</c:f>
              <c:numCache>
                <c:formatCode>"R$ "#,##0.00</c:formatCode>
                <c:ptCount val="12"/>
                <c:pt idx="0">
                  <c:v>56.9</c:v>
                </c:pt>
                <c:pt idx="1">
                  <c:v>312.45</c:v>
                </c:pt>
                <c:pt idx="2">
                  <c:v>74.2</c:v>
                </c:pt>
                <c:pt idx="3">
                  <c:v>0</c:v>
                </c:pt>
                <c:pt idx="4">
                  <c:v>18.75</c:v>
                </c:pt>
                <c:pt idx="5">
                  <c:v>0</c:v>
                </c:pt>
                <c:pt idx="6">
                  <c:v>0</c:v>
                </c:pt>
                <c:pt idx="7">
                  <c:v>187.3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Fevereiro!M4</c:f>
              <c:strCache>
                <c:ptCount val="1"/>
                <c:pt idx="0">
                  <c:v>Valor gasto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f8b59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Fevereiro!$K$5:$K$16</c:f>
              <c:strCache>
                <c:ptCount val="12"/>
                <c:pt idx="0">
                  <c:v>Alimentação</c:v>
                </c:pt>
                <c:pt idx="1">
                  <c:v>Mercado</c:v>
                </c:pt>
                <c:pt idx="2">
                  <c:v>Farmácia</c:v>
                </c:pt>
                <c:pt idx="3">
                  <c:v>Combustível</c:v>
                </c:pt>
                <c:pt idx="4">
                  <c:v>Transporte</c:v>
                </c:pt>
                <c:pt idx="5">
                  <c:v>Vestuário</c:v>
                </c:pt>
                <c:pt idx="6">
                  <c:v>Eletrônicos</c:v>
                </c:pt>
                <c:pt idx="7">
                  <c:v>Casa</c:v>
                </c:pt>
                <c:pt idx="8">
                  <c:v>Saúde</c:v>
                </c:pt>
                <c:pt idx="9">
                  <c:v>Lazer</c:v>
                </c:pt>
                <c:pt idx="10">
                  <c:v>Serviços</c:v>
                </c:pt>
                <c:pt idx="11">
                  <c:v>Outros</c:v>
                </c:pt>
              </c:strCache>
            </c:strRef>
          </c:cat>
          <c:val>
            <c:numRef>
              <c:f>Fevereiro!$M$5:$M$16</c:f>
              <c:numCache>
                <c:formatCode>"R$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Março!M4</c:f>
              <c:strCache>
                <c:ptCount val="1"/>
                <c:pt idx="0">
                  <c:v>Valor gasto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f8b59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Março!$K$5:$K$16</c:f>
              <c:strCache>
                <c:ptCount val="12"/>
                <c:pt idx="0">
                  <c:v>Alimentação</c:v>
                </c:pt>
                <c:pt idx="1">
                  <c:v>Mercado</c:v>
                </c:pt>
                <c:pt idx="2">
                  <c:v>Farmácia</c:v>
                </c:pt>
                <c:pt idx="3">
                  <c:v>Combustível</c:v>
                </c:pt>
                <c:pt idx="4">
                  <c:v>Transporte</c:v>
                </c:pt>
                <c:pt idx="5">
                  <c:v>Vestuário</c:v>
                </c:pt>
                <c:pt idx="6">
                  <c:v>Eletrônicos</c:v>
                </c:pt>
                <c:pt idx="7">
                  <c:v>Casa</c:v>
                </c:pt>
                <c:pt idx="8">
                  <c:v>Saúde</c:v>
                </c:pt>
                <c:pt idx="9">
                  <c:v>Lazer</c:v>
                </c:pt>
                <c:pt idx="10">
                  <c:v>Serviços</c:v>
                </c:pt>
                <c:pt idx="11">
                  <c:v>Outros</c:v>
                </c:pt>
              </c:strCache>
            </c:strRef>
          </c:cat>
          <c:val>
            <c:numRef>
              <c:f>Março!$M$5:$M$16</c:f>
              <c:numCache>
                <c:formatCode>"R$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Abril!M4</c:f>
              <c:strCache>
                <c:ptCount val="1"/>
                <c:pt idx="0">
                  <c:v>Valor gasto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f8b59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Abril!$K$5:$K$16</c:f>
              <c:strCache>
                <c:ptCount val="12"/>
                <c:pt idx="0">
                  <c:v>Alimentação</c:v>
                </c:pt>
                <c:pt idx="1">
                  <c:v>Mercado</c:v>
                </c:pt>
                <c:pt idx="2">
                  <c:v>Farmácia</c:v>
                </c:pt>
                <c:pt idx="3">
                  <c:v>Combustível</c:v>
                </c:pt>
                <c:pt idx="4">
                  <c:v>Transporte</c:v>
                </c:pt>
                <c:pt idx="5">
                  <c:v>Vestuário</c:v>
                </c:pt>
                <c:pt idx="6">
                  <c:v>Eletrônicos</c:v>
                </c:pt>
                <c:pt idx="7">
                  <c:v>Casa</c:v>
                </c:pt>
                <c:pt idx="8">
                  <c:v>Saúde</c:v>
                </c:pt>
                <c:pt idx="9">
                  <c:v>Lazer</c:v>
                </c:pt>
                <c:pt idx="10">
                  <c:v>Serviços</c:v>
                </c:pt>
                <c:pt idx="11">
                  <c:v>Outros</c:v>
                </c:pt>
              </c:strCache>
            </c:strRef>
          </c:cat>
          <c:val>
            <c:numRef>
              <c:f>Abril!$M$5:$M$16</c:f>
              <c:numCache>
                <c:formatCode>"R$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Maio!M4</c:f>
              <c:strCache>
                <c:ptCount val="1"/>
                <c:pt idx="0">
                  <c:v>Valor gasto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f8b59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Maio!$K$5:$K$16</c:f>
              <c:strCache>
                <c:ptCount val="12"/>
                <c:pt idx="0">
                  <c:v>Alimentação</c:v>
                </c:pt>
                <c:pt idx="1">
                  <c:v>Mercado</c:v>
                </c:pt>
                <c:pt idx="2">
                  <c:v>Farmácia</c:v>
                </c:pt>
                <c:pt idx="3">
                  <c:v>Combustível</c:v>
                </c:pt>
                <c:pt idx="4">
                  <c:v>Transporte</c:v>
                </c:pt>
                <c:pt idx="5">
                  <c:v>Vestuário</c:v>
                </c:pt>
                <c:pt idx="6">
                  <c:v>Eletrônicos</c:v>
                </c:pt>
                <c:pt idx="7">
                  <c:v>Casa</c:v>
                </c:pt>
                <c:pt idx="8">
                  <c:v>Saúde</c:v>
                </c:pt>
                <c:pt idx="9">
                  <c:v>Lazer</c:v>
                </c:pt>
                <c:pt idx="10">
                  <c:v>Serviços</c:v>
                </c:pt>
                <c:pt idx="11">
                  <c:v>Outros</c:v>
                </c:pt>
              </c:strCache>
            </c:strRef>
          </c:cat>
          <c:val>
            <c:numRef>
              <c:f>Maio!$M$5:$M$16</c:f>
              <c:numCache>
                <c:formatCode>"R$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Junho!M4</c:f>
              <c:strCache>
                <c:ptCount val="1"/>
                <c:pt idx="0">
                  <c:v>Valor gasto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f8b59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Junho!$K$5:$K$16</c:f>
              <c:strCache>
                <c:ptCount val="12"/>
                <c:pt idx="0">
                  <c:v>Alimentação</c:v>
                </c:pt>
                <c:pt idx="1">
                  <c:v>Mercado</c:v>
                </c:pt>
                <c:pt idx="2">
                  <c:v>Farmácia</c:v>
                </c:pt>
                <c:pt idx="3">
                  <c:v>Combustível</c:v>
                </c:pt>
                <c:pt idx="4">
                  <c:v>Transporte</c:v>
                </c:pt>
                <c:pt idx="5">
                  <c:v>Vestuário</c:v>
                </c:pt>
                <c:pt idx="6">
                  <c:v>Eletrônicos</c:v>
                </c:pt>
                <c:pt idx="7">
                  <c:v>Casa</c:v>
                </c:pt>
                <c:pt idx="8">
                  <c:v>Saúde</c:v>
                </c:pt>
                <c:pt idx="9">
                  <c:v>Lazer</c:v>
                </c:pt>
                <c:pt idx="10">
                  <c:v>Serviços</c:v>
                </c:pt>
                <c:pt idx="11">
                  <c:v>Outros</c:v>
                </c:pt>
              </c:strCache>
            </c:strRef>
          </c:cat>
          <c:val>
            <c:numRef>
              <c:f>Junho!$M$5:$M$16</c:f>
              <c:numCache>
                <c:formatCode>"R$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Julho!M4</c:f>
              <c:strCache>
                <c:ptCount val="1"/>
                <c:pt idx="0">
                  <c:v>Valor gasto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f8b59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Julho!$K$5:$K$16</c:f>
              <c:strCache>
                <c:ptCount val="12"/>
                <c:pt idx="0">
                  <c:v>Alimentação</c:v>
                </c:pt>
                <c:pt idx="1">
                  <c:v>Mercado</c:v>
                </c:pt>
                <c:pt idx="2">
                  <c:v>Farmácia</c:v>
                </c:pt>
                <c:pt idx="3">
                  <c:v>Combustível</c:v>
                </c:pt>
                <c:pt idx="4">
                  <c:v>Transporte</c:v>
                </c:pt>
                <c:pt idx="5">
                  <c:v>Vestuário</c:v>
                </c:pt>
                <c:pt idx="6">
                  <c:v>Eletrônicos</c:v>
                </c:pt>
                <c:pt idx="7">
                  <c:v>Casa</c:v>
                </c:pt>
                <c:pt idx="8">
                  <c:v>Saúde</c:v>
                </c:pt>
                <c:pt idx="9">
                  <c:v>Lazer</c:v>
                </c:pt>
                <c:pt idx="10">
                  <c:v>Serviços</c:v>
                </c:pt>
                <c:pt idx="11">
                  <c:v>Outros</c:v>
                </c:pt>
              </c:strCache>
            </c:strRef>
          </c:cat>
          <c:val>
            <c:numRef>
              <c:f>Julho!$M$5:$M$16</c:f>
              <c:numCache>
                <c:formatCode>"R$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Agosto!M4</c:f>
              <c:strCache>
                <c:ptCount val="1"/>
                <c:pt idx="0">
                  <c:v>Valor gasto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f8b59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Agosto!$K$5:$K$16</c:f>
              <c:strCache>
                <c:ptCount val="12"/>
                <c:pt idx="0">
                  <c:v>Alimentação</c:v>
                </c:pt>
                <c:pt idx="1">
                  <c:v>Mercado</c:v>
                </c:pt>
                <c:pt idx="2">
                  <c:v>Farmácia</c:v>
                </c:pt>
                <c:pt idx="3">
                  <c:v>Combustível</c:v>
                </c:pt>
                <c:pt idx="4">
                  <c:v>Transporte</c:v>
                </c:pt>
                <c:pt idx="5">
                  <c:v>Vestuário</c:v>
                </c:pt>
                <c:pt idx="6">
                  <c:v>Eletrônicos</c:v>
                </c:pt>
                <c:pt idx="7">
                  <c:v>Casa</c:v>
                </c:pt>
                <c:pt idx="8">
                  <c:v>Saúde</c:v>
                </c:pt>
                <c:pt idx="9">
                  <c:v>Lazer</c:v>
                </c:pt>
                <c:pt idx="10">
                  <c:v>Serviços</c:v>
                </c:pt>
                <c:pt idx="11">
                  <c:v>Outros</c:v>
                </c:pt>
              </c:strCache>
            </c:strRef>
          </c:cat>
          <c:val>
            <c:numRef>
              <c:f>Agosto!$M$5:$M$16</c:f>
              <c:numCache>
                <c:formatCode>"R$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Setembro!M4</c:f>
              <c:strCache>
                <c:ptCount val="1"/>
                <c:pt idx="0">
                  <c:v>Valor gasto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f8b59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Setembro!$K$5:$K$16</c:f>
              <c:strCache>
                <c:ptCount val="12"/>
                <c:pt idx="0">
                  <c:v>Alimentação</c:v>
                </c:pt>
                <c:pt idx="1">
                  <c:v>Mercado</c:v>
                </c:pt>
                <c:pt idx="2">
                  <c:v>Farmácia</c:v>
                </c:pt>
                <c:pt idx="3">
                  <c:v>Combustível</c:v>
                </c:pt>
                <c:pt idx="4">
                  <c:v>Transporte</c:v>
                </c:pt>
                <c:pt idx="5">
                  <c:v>Vestuário</c:v>
                </c:pt>
                <c:pt idx="6">
                  <c:v>Eletrônicos</c:v>
                </c:pt>
                <c:pt idx="7">
                  <c:v>Casa</c:v>
                </c:pt>
                <c:pt idx="8">
                  <c:v>Saúde</c:v>
                </c:pt>
                <c:pt idx="9">
                  <c:v>Lazer</c:v>
                </c:pt>
                <c:pt idx="10">
                  <c:v>Serviços</c:v>
                </c:pt>
                <c:pt idx="11">
                  <c:v>Outros</c:v>
                </c:pt>
              </c:strCache>
            </c:strRef>
          </c:cat>
          <c:val>
            <c:numRef>
              <c:f>Setembro!$M$5:$M$16</c:f>
              <c:numCache>
                <c:formatCode>"R$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Outubro!M4</c:f>
              <c:strCache>
                <c:ptCount val="1"/>
                <c:pt idx="0">
                  <c:v>Valor gasto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f8b59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Outubro!$K$5:$K$16</c:f>
              <c:strCache>
                <c:ptCount val="12"/>
                <c:pt idx="0">
                  <c:v>Alimentação</c:v>
                </c:pt>
                <c:pt idx="1">
                  <c:v>Mercado</c:v>
                </c:pt>
                <c:pt idx="2">
                  <c:v>Farmácia</c:v>
                </c:pt>
                <c:pt idx="3">
                  <c:v>Combustível</c:v>
                </c:pt>
                <c:pt idx="4">
                  <c:v>Transporte</c:v>
                </c:pt>
                <c:pt idx="5">
                  <c:v>Vestuário</c:v>
                </c:pt>
                <c:pt idx="6">
                  <c:v>Eletrônicos</c:v>
                </c:pt>
                <c:pt idx="7">
                  <c:v>Casa</c:v>
                </c:pt>
                <c:pt idx="8">
                  <c:v>Saúde</c:v>
                </c:pt>
                <c:pt idx="9">
                  <c:v>Lazer</c:v>
                </c:pt>
                <c:pt idx="10">
                  <c:v>Serviços</c:v>
                </c:pt>
                <c:pt idx="11">
                  <c:v>Outros</c:v>
                </c:pt>
              </c:strCache>
            </c:strRef>
          </c:cat>
          <c:val>
            <c:numRef>
              <c:f>Outubro!$M$5:$M$16</c:f>
              <c:numCache>
                <c:formatCode>"R$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Novembro!M4</c:f>
              <c:strCache>
                <c:ptCount val="1"/>
                <c:pt idx="0">
                  <c:v>Valor gasto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f8b59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Novembro!$K$5:$K$16</c:f>
              <c:strCache>
                <c:ptCount val="12"/>
                <c:pt idx="0">
                  <c:v>Alimentação</c:v>
                </c:pt>
                <c:pt idx="1">
                  <c:v>Mercado</c:v>
                </c:pt>
                <c:pt idx="2">
                  <c:v>Farmácia</c:v>
                </c:pt>
                <c:pt idx="3">
                  <c:v>Combustível</c:v>
                </c:pt>
                <c:pt idx="4">
                  <c:v>Transporte</c:v>
                </c:pt>
                <c:pt idx="5">
                  <c:v>Vestuário</c:v>
                </c:pt>
                <c:pt idx="6">
                  <c:v>Eletrônicos</c:v>
                </c:pt>
                <c:pt idx="7">
                  <c:v>Casa</c:v>
                </c:pt>
                <c:pt idx="8">
                  <c:v>Saúde</c:v>
                </c:pt>
                <c:pt idx="9">
                  <c:v>Lazer</c:v>
                </c:pt>
                <c:pt idx="10">
                  <c:v>Serviços</c:v>
                </c:pt>
                <c:pt idx="11">
                  <c:v>Outros</c:v>
                </c:pt>
              </c:strCache>
            </c:strRef>
          </c:cat>
          <c:val>
            <c:numRef>
              <c:f>Novembro!$M$5:$M$16</c:f>
              <c:numCache>
                <c:formatCode>"R$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Dezembro!M4</c:f>
              <c:strCache>
                <c:ptCount val="1"/>
                <c:pt idx="0">
                  <c:v>Valor gasto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f8b59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Dezembro!$K$5:$K$16</c:f>
              <c:strCache>
                <c:ptCount val="12"/>
                <c:pt idx="0">
                  <c:v>Alimentação</c:v>
                </c:pt>
                <c:pt idx="1">
                  <c:v>Mercado</c:v>
                </c:pt>
                <c:pt idx="2">
                  <c:v>Farmácia</c:v>
                </c:pt>
                <c:pt idx="3">
                  <c:v>Combustível</c:v>
                </c:pt>
                <c:pt idx="4">
                  <c:v>Transporte</c:v>
                </c:pt>
                <c:pt idx="5">
                  <c:v>Vestuário</c:v>
                </c:pt>
                <c:pt idx="6">
                  <c:v>Eletrônicos</c:v>
                </c:pt>
                <c:pt idx="7">
                  <c:v>Casa</c:v>
                </c:pt>
                <c:pt idx="8">
                  <c:v>Saúde</c:v>
                </c:pt>
                <c:pt idx="9">
                  <c:v>Lazer</c:v>
                </c:pt>
                <c:pt idx="10">
                  <c:v>Serviços</c:v>
                </c:pt>
                <c:pt idx="11">
                  <c:v>Outros</c:v>
                </c:pt>
              </c:strCache>
            </c:strRef>
          </c:cat>
          <c:val>
            <c:numRef>
              <c:f>Dezembro!$M$5:$M$16</c:f>
              <c:numCache>
                <c:formatCode>"R$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 total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'Visão Anual'!C4</c:f>
              <c:strCache>
                <c:ptCount val="1"/>
                <c:pt idx="0">
                  <c:v>Total Saídas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'Visão Anual'!$A$5:$A$16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'Visão Anual'!$C$5:$C$16</c:f>
              <c:numCache>
                <c:formatCode>"R$ "#,##0.00</c:formatCode>
                <c:ptCount val="12"/>
                <c:pt idx="0">
                  <c:v>649.6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20319346"/>
        <c:axId val="43816601"/>
      </c:barChart>
      <c:catAx>
        <c:axId val="203193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16601"/>
        <c:crosses val="autoZero"/>
        <c:auto val="1"/>
        <c:lblAlgn val="ctr"/>
        <c:lblOffset val="100"/>
        <c:noMultiLvlLbl val="0"/>
      </c:catAx>
      <c:valAx>
        <c:axId val="438166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3193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investido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Investimento!D4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Investimento!$A$5:$A$16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Investimento!$D$5:$D$16</c:f>
              <c:numCache>
                <c:formatCode>"R$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3827130"/>
        <c:axId val="48184047"/>
      </c:barChart>
      <c:catAx>
        <c:axId val="38271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84047"/>
        <c:crosses val="autoZero"/>
        <c:auto val="1"/>
        <c:lblAlgn val="ctr"/>
        <c:lblOffset val="100"/>
        <c:noMultiLvlLbl val="0"/>
      </c:catAx>
      <c:valAx>
        <c:axId val="481840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71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13.xml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1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29</xdr:row>
      <xdr:rowOff>171000</xdr:rowOff>
    </xdr:from>
    <xdr:to>
      <xdr:col>20</xdr:col>
      <xdr:colOff>525600</xdr:colOff>
      <xdr:row>45</xdr:row>
      <xdr:rowOff>182520</xdr:rowOff>
    </xdr:to>
    <xdr:graphicFrame>
      <xdr:nvGraphicFramePr>
        <xdr:cNvPr id="0" name="Chart 1"/>
        <xdr:cNvGraphicFramePr/>
      </xdr:nvGraphicFramePr>
      <xdr:xfrm>
        <a:off x="16357680" y="6143760"/>
        <a:ext cx="43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29</xdr:row>
      <xdr:rowOff>171000</xdr:rowOff>
    </xdr:from>
    <xdr:to>
      <xdr:col>20</xdr:col>
      <xdr:colOff>525600</xdr:colOff>
      <xdr:row>45</xdr:row>
      <xdr:rowOff>182520</xdr:rowOff>
    </xdr:to>
    <xdr:graphicFrame>
      <xdr:nvGraphicFramePr>
        <xdr:cNvPr id="1" name="Chart 1"/>
        <xdr:cNvGraphicFramePr/>
      </xdr:nvGraphicFramePr>
      <xdr:xfrm>
        <a:off x="16357680" y="6143760"/>
        <a:ext cx="43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29</xdr:row>
      <xdr:rowOff>171000</xdr:rowOff>
    </xdr:from>
    <xdr:to>
      <xdr:col>20</xdr:col>
      <xdr:colOff>525600</xdr:colOff>
      <xdr:row>45</xdr:row>
      <xdr:rowOff>182520</xdr:rowOff>
    </xdr:to>
    <xdr:graphicFrame>
      <xdr:nvGraphicFramePr>
        <xdr:cNvPr id="2" name="Chart 1"/>
        <xdr:cNvGraphicFramePr/>
      </xdr:nvGraphicFramePr>
      <xdr:xfrm>
        <a:off x="16357680" y="6143760"/>
        <a:ext cx="43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29</xdr:row>
      <xdr:rowOff>171000</xdr:rowOff>
    </xdr:from>
    <xdr:to>
      <xdr:col>20</xdr:col>
      <xdr:colOff>525600</xdr:colOff>
      <xdr:row>45</xdr:row>
      <xdr:rowOff>182520</xdr:rowOff>
    </xdr:to>
    <xdr:graphicFrame>
      <xdr:nvGraphicFramePr>
        <xdr:cNvPr id="3" name="Chart 1"/>
        <xdr:cNvGraphicFramePr/>
      </xdr:nvGraphicFramePr>
      <xdr:xfrm>
        <a:off x="16357680" y="6143760"/>
        <a:ext cx="43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29</xdr:row>
      <xdr:rowOff>171000</xdr:rowOff>
    </xdr:from>
    <xdr:to>
      <xdr:col>20</xdr:col>
      <xdr:colOff>525600</xdr:colOff>
      <xdr:row>45</xdr:row>
      <xdr:rowOff>182520</xdr:rowOff>
    </xdr:to>
    <xdr:graphicFrame>
      <xdr:nvGraphicFramePr>
        <xdr:cNvPr id="4" name="Chart 1"/>
        <xdr:cNvGraphicFramePr/>
      </xdr:nvGraphicFramePr>
      <xdr:xfrm>
        <a:off x="16357680" y="6143760"/>
        <a:ext cx="43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29</xdr:row>
      <xdr:rowOff>171000</xdr:rowOff>
    </xdr:from>
    <xdr:to>
      <xdr:col>20</xdr:col>
      <xdr:colOff>525600</xdr:colOff>
      <xdr:row>45</xdr:row>
      <xdr:rowOff>182520</xdr:rowOff>
    </xdr:to>
    <xdr:graphicFrame>
      <xdr:nvGraphicFramePr>
        <xdr:cNvPr id="5" name="Chart 1"/>
        <xdr:cNvGraphicFramePr/>
      </xdr:nvGraphicFramePr>
      <xdr:xfrm>
        <a:off x="16357680" y="6143760"/>
        <a:ext cx="43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29</xdr:row>
      <xdr:rowOff>171000</xdr:rowOff>
    </xdr:from>
    <xdr:to>
      <xdr:col>20</xdr:col>
      <xdr:colOff>525600</xdr:colOff>
      <xdr:row>45</xdr:row>
      <xdr:rowOff>182520</xdr:rowOff>
    </xdr:to>
    <xdr:graphicFrame>
      <xdr:nvGraphicFramePr>
        <xdr:cNvPr id="6" name="Chart 1"/>
        <xdr:cNvGraphicFramePr/>
      </xdr:nvGraphicFramePr>
      <xdr:xfrm>
        <a:off x="16357680" y="6143760"/>
        <a:ext cx="43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29</xdr:row>
      <xdr:rowOff>171000</xdr:rowOff>
    </xdr:from>
    <xdr:to>
      <xdr:col>20</xdr:col>
      <xdr:colOff>525600</xdr:colOff>
      <xdr:row>45</xdr:row>
      <xdr:rowOff>182520</xdr:rowOff>
    </xdr:to>
    <xdr:graphicFrame>
      <xdr:nvGraphicFramePr>
        <xdr:cNvPr id="7" name="Chart 1"/>
        <xdr:cNvGraphicFramePr/>
      </xdr:nvGraphicFramePr>
      <xdr:xfrm>
        <a:off x="16357680" y="6143760"/>
        <a:ext cx="43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29</xdr:row>
      <xdr:rowOff>171000</xdr:rowOff>
    </xdr:from>
    <xdr:to>
      <xdr:col>20</xdr:col>
      <xdr:colOff>525600</xdr:colOff>
      <xdr:row>45</xdr:row>
      <xdr:rowOff>182520</xdr:rowOff>
    </xdr:to>
    <xdr:graphicFrame>
      <xdr:nvGraphicFramePr>
        <xdr:cNvPr id="8" name="Chart 1"/>
        <xdr:cNvGraphicFramePr/>
      </xdr:nvGraphicFramePr>
      <xdr:xfrm>
        <a:off x="16357680" y="6143760"/>
        <a:ext cx="43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29</xdr:row>
      <xdr:rowOff>171000</xdr:rowOff>
    </xdr:from>
    <xdr:to>
      <xdr:col>20</xdr:col>
      <xdr:colOff>525600</xdr:colOff>
      <xdr:row>45</xdr:row>
      <xdr:rowOff>182520</xdr:rowOff>
    </xdr:to>
    <xdr:graphicFrame>
      <xdr:nvGraphicFramePr>
        <xdr:cNvPr id="9" name="Chart 1"/>
        <xdr:cNvGraphicFramePr/>
      </xdr:nvGraphicFramePr>
      <xdr:xfrm>
        <a:off x="16357680" y="6143760"/>
        <a:ext cx="43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29</xdr:row>
      <xdr:rowOff>171000</xdr:rowOff>
    </xdr:from>
    <xdr:to>
      <xdr:col>20</xdr:col>
      <xdr:colOff>525600</xdr:colOff>
      <xdr:row>45</xdr:row>
      <xdr:rowOff>182520</xdr:rowOff>
    </xdr:to>
    <xdr:graphicFrame>
      <xdr:nvGraphicFramePr>
        <xdr:cNvPr id="10" name="Chart 1"/>
        <xdr:cNvGraphicFramePr/>
      </xdr:nvGraphicFramePr>
      <xdr:xfrm>
        <a:off x="16357680" y="6143760"/>
        <a:ext cx="43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29</xdr:row>
      <xdr:rowOff>171000</xdr:rowOff>
    </xdr:from>
    <xdr:to>
      <xdr:col>20</xdr:col>
      <xdr:colOff>525600</xdr:colOff>
      <xdr:row>45</xdr:row>
      <xdr:rowOff>182520</xdr:rowOff>
    </xdr:to>
    <xdr:graphicFrame>
      <xdr:nvGraphicFramePr>
        <xdr:cNvPr id="11" name="Chart 1"/>
        <xdr:cNvGraphicFramePr/>
      </xdr:nvGraphicFramePr>
      <xdr:xfrm>
        <a:off x="16357680" y="6143760"/>
        <a:ext cx="43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10</xdr:col>
      <xdr:colOff>65520</xdr:colOff>
      <xdr:row>16</xdr:row>
      <xdr:rowOff>32760</xdr:rowOff>
    </xdr:to>
    <xdr:graphicFrame>
      <xdr:nvGraphicFramePr>
        <xdr:cNvPr id="12" name="Chart 1"/>
        <xdr:cNvGraphicFramePr/>
      </xdr:nvGraphicFramePr>
      <xdr:xfrm>
        <a:off x="6222960" y="6192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11</xdr:col>
      <xdr:colOff>126720</xdr:colOff>
      <xdr:row>16</xdr:row>
      <xdr:rowOff>32760</xdr:rowOff>
    </xdr:to>
    <xdr:graphicFrame>
      <xdr:nvGraphicFramePr>
        <xdr:cNvPr id="13" name="Chart 1"/>
        <xdr:cNvGraphicFramePr/>
      </xdr:nvGraphicFramePr>
      <xdr:xfrm>
        <a:off x="5915160" y="61920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117"/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33.75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1</v>
      </c>
    </row>
    <row r="5" customFormat="false" ht="23.85" hidden="false" customHeight="false" outlineLevel="0" collapsed="false">
      <c r="B5" s="2" t="s">
        <v>2</v>
      </c>
    </row>
    <row r="6" customFormat="false" ht="15" hidden="false" customHeight="false" outlineLevel="0" collapsed="false">
      <c r="B6" s="2"/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2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/>
    </row>
    <row r="19" customFormat="false" ht="15" hidden="false" customHeight="false" outlineLevel="0" collapsed="false">
      <c r="B19" s="3" t="s">
        <v>13</v>
      </c>
    </row>
    <row r="20" customFormat="false" ht="15" hidden="false" customHeight="false" outlineLevel="0" collapsed="false">
      <c r="B20" s="2" t="s">
        <v>14</v>
      </c>
    </row>
    <row r="21" customFormat="false" ht="15" hidden="false" customHeight="false" outlineLevel="0" collapsed="false">
      <c r="B21" s="2" t="s">
        <v>15</v>
      </c>
    </row>
    <row r="22" customFormat="false" ht="15" hidden="false" customHeight="false" outlineLevel="0" collapsed="false">
      <c r="B22" s="2" t="s">
        <v>16</v>
      </c>
    </row>
    <row r="23" customFormat="false" ht="15" hidden="false" customHeight="false" outlineLevel="0" collapsed="false">
      <c r="B23" s="2" t="s">
        <v>17</v>
      </c>
    </row>
    <row r="24" customFormat="false" ht="15" hidden="false" customHeight="false" outlineLevel="0" collapsed="false">
      <c r="B24" s="2"/>
    </row>
    <row r="25" customFormat="false" ht="15" hidden="false" customHeight="false" outlineLevel="0" collapsed="false">
      <c r="B25" s="3" t="s">
        <v>18</v>
      </c>
    </row>
    <row r="26" customFormat="false" ht="15" hidden="false" customHeight="false" outlineLevel="0" collapsed="false">
      <c r="B26" s="3" t="s">
        <v>19</v>
      </c>
    </row>
    <row r="27" customFormat="false" ht="15" hidden="false" customHeight="false" outlineLevel="0" collapsed="false">
      <c r="B27" s="4" t="s">
        <v>20</v>
      </c>
    </row>
    <row r="28" customFormat="false" ht="15" hidden="false" customHeight="false" outlineLevel="0" collapsed="false">
      <c r="B28" s="5" t="s">
        <v>21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88A89"/>
    <pageSetUpPr fitToPage="false"/>
  </sheetPr>
  <dimension ref="A1:N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2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2"/>
    <col collapsed="false" customWidth="true" hidden="false" outlineLevel="0" max="11" min="11" style="0" width="17"/>
    <col collapsed="false" customWidth="true" hidden="false" outlineLevel="0" max="12" min="12" style="0" width="13"/>
    <col collapsed="false" customWidth="true" hidden="false" outlineLevel="0" max="14" min="13" style="0" width="12"/>
    <col collapsed="false" customWidth="true" hidden="false" outlineLevel="0" max="15" min="15" style="0" width="2"/>
  </cols>
  <sheetData>
    <row r="1" customFormat="false" ht="33.75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9.7" hidden="false" customHeight="true" outlineLevel="0" collapsed="false">
      <c r="A3" s="6" t="s">
        <v>23</v>
      </c>
      <c r="B3" s="6"/>
      <c r="C3" s="6"/>
      <c r="D3" s="7" t="s">
        <v>24</v>
      </c>
      <c r="E3" s="8" t="n">
        <f aca="false">SUM(E5:E64)</f>
        <v>649.6</v>
      </c>
      <c r="G3" s="6" t="s">
        <v>25</v>
      </c>
      <c r="H3" s="6"/>
      <c r="I3" s="9" t="n">
        <f aca="false">SUM(I5:I12)</f>
        <v>0</v>
      </c>
      <c r="K3" s="6" t="s">
        <v>26</v>
      </c>
      <c r="L3" s="6"/>
      <c r="M3" s="6"/>
      <c r="N3" s="6"/>
    </row>
    <row r="4" customFormat="false" ht="15" hidden="false" customHeight="false" outlineLevel="0" collapsed="false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G4" s="6" t="s">
        <v>29</v>
      </c>
      <c r="H4" s="6" t="s">
        <v>30</v>
      </c>
      <c r="I4" s="6" t="s">
        <v>31</v>
      </c>
      <c r="K4" s="6" t="s">
        <v>30</v>
      </c>
      <c r="L4" s="6" t="s">
        <v>32</v>
      </c>
      <c r="M4" s="6" t="s">
        <v>33</v>
      </c>
      <c r="N4" s="6" t="s">
        <v>34</v>
      </c>
    </row>
    <row r="5" customFormat="false" ht="15" hidden="false" customHeight="false" outlineLevel="0" collapsed="false">
      <c r="A5" s="10" t="s">
        <v>35</v>
      </c>
      <c r="B5" s="11" t="n">
        <v>46027</v>
      </c>
      <c r="C5" s="12" t="s">
        <v>36</v>
      </c>
      <c r="D5" s="13" t="s">
        <v>37</v>
      </c>
      <c r="E5" s="14" t="n">
        <v>312.45</v>
      </c>
      <c r="G5" s="10"/>
      <c r="H5" s="10"/>
      <c r="I5" s="14"/>
      <c r="K5" s="15" t="s">
        <v>38</v>
      </c>
      <c r="L5" s="14"/>
      <c r="M5" s="14" t="n">
        <f aca="false">SUMIF($D$5:$D$64,$K5,$E$5:$E$64)</f>
        <v>56.9</v>
      </c>
      <c r="N5" s="16" t="n">
        <f aca="false">IFERROR(M5/$E$3,0)</f>
        <v>0.0875923645320197</v>
      </c>
    </row>
    <row r="6" customFormat="false" ht="15" hidden="false" customHeight="false" outlineLevel="0" collapsed="false">
      <c r="A6" s="10" t="s">
        <v>39</v>
      </c>
      <c r="B6" s="11" t="n">
        <v>46030</v>
      </c>
      <c r="C6" s="17" t="s">
        <v>40</v>
      </c>
      <c r="D6" s="15" t="s">
        <v>38</v>
      </c>
      <c r="E6" s="14" t="n">
        <v>56.9</v>
      </c>
      <c r="G6" s="10"/>
      <c r="H6" s="10"/>
      <c r="I6" s="14"/>
      <c r="K6" s="13" t="s">
        <v>37</v>
      </c>
      <c r="L6" s="14"/>
      <c r="M6" s="14" t="n">
        <f aca="false">SUMIF($D$5:$D$64,$K6,$E$5:$E$64)</f>
        <v>312.45</v>
      </c>
      <c r="N6" s="16" t="n">
        <f aca="false">IFERROR(M6/$E$3,0)</f>
        <v>0.480988300492611</v>
      </c>
    </row>
    <row r="7" customFormat="false" ht="15" hidden="false" customHeight="false" outlineLevel="0" collapsed="false">
      <c r="A7" s="10" t="s">
        <v>41</v>
      </c>
      <c r="B7" s="11" t="n">
        <v>46034</v>
      </c>
      <c r="C7" s="18" t="s">
        <v>42</v>
      </c>
      <c r="D7" s="19" t="s">
        <v>43</v>
      </c>
      <c r="E7" s="14" t="n">
        <v>18.75</v>
      </c>
      <c r="G7" s="10"/>
      <c r="H7" s="10"/>
      <c r="I7" s="14"/>
      <c r="K7" s="20" t="s">
        <v>44</v>
      </c>
      <c r="L7" s="14"/>
      <c r="M7" s="14" t="n">
        <f aca="false">SUMIF($D$5:$D$64,$K7,$E$5:$E$64)</f>
        <v>74.2</v>
      </c>
      <c r="N7" s="16" t="n">
        <f aca="false">IFERROR(M7/$E$3,0)</f>
        <v>0.114224137931034</v>
      </c>
    </row>
    <row r="8" customFormat="false" ht="15" hidden="false" customHeight="false" outlineLevel="0" collapsed="false">
      <c r="A8" s="10" t="s">
        <v>45</v>
      </c>
      <c r="B8" s="11" t="n">
        <v>46037</v>
      </c>
      <c r="C8" s="12" t="s">
        <v>36</v>
      </c>
      <c r="D8" s="21" t="s">
        <v>46</v>
      </c>
      <c r="E8" s="14" t="n">
        <v>187.3</v>
      </c>
      <c r="G8" s="10"/>
      <c r="H8" s="10"/>
      <c r="I8" s="14"/>
      <c r="K8" s="22" t="s">
        <v>47</v>
      </c>
      <c r="L8" s="14"/>
      <c r="M8" s="14" t="n">
        <f aca="false">SUMIF($D$5:$D$64,$K8,$E$5:$E$64)</f>
        <v>0</v>
      </c>
      <c r="N8" s="16" t="n">
        <f aca="false">IFERROR(M8/$E$3,0)</f>
        <v>0</v>
      </c>
    </row>
    <row r="9" customFormat="false" ht="15" hidden="false" customHeight="false" outlineLevel="0" collapsed="false">
      <c r="A9" s="10" t="s">
        <v>48</v>
      </c>
      <c r="B9" s="11" t="n">
        <v>46042</v>
      </c>
      <c r="C9" s="23" t="s">
        <v>49</v>
      </c>
      <c r="D9" s="20" t="s">
        <v>44</v>
      </c>
      <c r="E9" s="14" t="n">
        <v>74.2</v>
      </c>
      <c r="G9" s="10"/>
      <c r="H9" s="10"/>
      <c r="I9" s="14"/>
      <c r="K9" s="19" t="s">
        <v>43</v>
      </c>
      <c r="L9" s="14"/>
      <c r="M9" s="14" t="n">
        <f aca="false">SUMIF($D$5:$D$64,$K9,$E$5:$E$64)</f>
        <v>18.75</v>
      </c>
      <c r="N9" s="16" t="n">
        <f aca="false">IFERROR(M9/$E$3,0)</f>
        <v>0.0288639162561576</v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G10" s="10"/>
      <c r="H10" s="10"/>
      <c r="I10" s="14"/>
      <c r="K10" s="17" t="s">
        <v>50</v>
      </c>
      <c r="L10" s="14"/>
      <c r="M10" s="14" t="n">
        <f aca="false">SUMIF($D$5:$D$64,$K10,$E$5:$E$64)</f>
        <v>0</v>
      </c>
      <c r="N10" s="16" t="n">
        <f aca="false">IFERROR(M10/$E$3,0)</f>
        <v>0</v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G11" s="10"/>
      <c r="H11" s="10"/>
      <c r="I11" s="14"/>
      <c r="K11" s="24" t="s">
        <v>51</v>
      </c>
      <c r="L11" s="14"/>
      <c r="M11" s="14" t="n">
        <f aca="false">SUMIF($D$5:$D$64,$K11,$E$5:$E$64)</f>
        <v>0</v>
      </c>
      <c r="N11" s="16" t="n">
        <f aca="false">IFERROR(M11/$E$3,0)</f>
        <v>0</v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G12" s="10"/>
      <c r="H12" s="10"/>
      <c r="I12" s="14"/>
      <c r="K12" s="21" t="s">
        <v>46</v>
      </c>
      <c r="L12" s="14"/>
      <c r="M12" s="14" t="n">
        <f aca="false">SUMIF($D$5:$D$64,$K12,$E$5:$E$64)</f>
        <v>187.3</v>
      </c>
      <c r="N12" s="16" t="n">
        <f aca="false">IFERROR(M12/$E$3,0)</f>
        <v>0.288331280788177</v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K13" s="25" t="s">
        <v>52</v>
      </c>
      <c r="L13" s="14"/>
      <c r="M13" s="14" t="n">
        <f aca="false">SUMIF($D$5:$D$64,$K13,$E$5:$E$64)</f>
        <v>0</v>
      </c>
      <c r="N13" s="16" t="n">
        <f aca="false">IFERROR(M13/$E$3,0)</f>
        <v>0</v>
      </c>
    </row>
    <row r="14" customFormat="false" ht="26.85" hidden="false" customHeight="true" outlineLevel="0" collapsed="false">
      <c r="A14" s="10"/>
      <c r="B14" s="11"/>
      <c r="C14" s="10"/>
      <c r="D14" s="10"/>
      <c r="E14" s="14"/>
      <c r="G14" s="6" t="s">
        <v>53</v>
      </c>
      <c r="H14" s="6"/>
      <c r="I14" s="9" t="n">
        <f aca="false">SUM(I16:I23)</f>
        <v>0</v>
      </c>
      <c r="K14" s="26" t="s">
        <v>54</v>
      </c>
      <c r="L14" s="14"/>
      <c r="M14" s="14" t="n">
        <f aca="false">SUMIF($D$5:$D$64,$K14,$E$5:$E$64)</f>
        <v>0</v>
      </c>
      <c r="N14" s="16" t="n">
        <f aca="false">IFERROR(M14/$E$3,0)</f>
        <v>0</v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G15" s="6" t="s">
        <v>29</v>
      </c>
      <c r="H15" s="6" t="s">
        <v>30</v>
      </c>
      <c r="I15" s="6" t="s">
        <v>31</v>
      </c>
      <c r="K15" s="27" t="s">
        <v>55</v>
      </c>
      <c r="L15" s="14"/>
      <c r="M15" s="14" t="n">
        <f aca="false">SUMIF($D$5:$D$64,$K15,$E$5:$E$64)</f>
        <v>0</v>
      </c>
      <c r="N15" s="16" t="n">
        <f aca="false">IFERROR(M15/$E$3,0)</f>
        <v>0</v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G16" s="10"/>
      <c r="H16" s="10"/>
      <c r="I16" s="14"/>
      <c r="K16" s="28" t="s">
        <v>56</v>
      </c>
      <c r="L16" s="14"/>
      <c r="M16" s="14" t="n">
        <f aca="false">SUMIF($D$5:$D$64,$K16,$E$5:$E$64)</f>
        <v>0</v>
      </c>
      <c r="N16" s="16" t="n">
        <f aca="false">IFERROR(M16/$E$3,0)</f>
        <v>0</v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G17" s="10"/>
      <c r="H17" s="10"/>
      <c r="I17" s="14"/>
      <c r="K17" s="29" t="s">
        <v>57</v>
      </c>
      <c r="L17" s="9" t="n">
        <f aca="false">SUM(L5:L16)</f>
        <v>0</v>
      </c>
      <c r="M17" s="9" t="n">
        <f aca="false">SUM(M5:M16)</f>
        <v>649.6</v>
      </c>
      <c r="N17" s="30" t="n">
        <f aca="false">IFERROR(M17/$E$3,0)</f>
        <v>1</v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G18" s="10"/>
      <c r="H18" s="10"/>
      <c r="I18" s="14"/>
    </row>
    <row r="19" customFormat="false" ht="15" hidden="false" customHeight="true" outlineLevel="0" collapsed="false">
      <c r="A19" s="10"/>
      <c r="B19" s="11"/>
      <c r="C19" s="10"/>
      <c r="D19" s="10"/>
      <c r="E19" s="14"/>
      <c r="G19" s="10"/>
      <c r="H19" s="10"/>
      <c r="I19" s="14"/>
      <c r="K19" s="6" t="s">
        <v>58</v>
      </c>
      <c r="L19" s="6"/>
      <c r="M19" s="6"/>
      <c r="N19" s="6"/>
    </row>
    <row r="20" customFormat="false" ht="15" hidden="false" customHeight="false" outlineLevel="0" collapsed="false">
      <c r="A20" s="10"/>
      <c r="B20" s="11"/>
      <c r="C20" s="10"/>
      <c r="D20" s="10"/>
      <c r="E20" s="14"/>
      <c r="G20" s="10"/>
      <c r="H20" s="10"/>
      <c r="I20" s="14"/>
      <c r="K20" s="6" t="s">
        <v>59</v>
      </c>
      <c r="L20" s="6" t="s">
        <v>31</v>
      </c>
      <c r="M20" s="6" t="s">
        <v>60</v>
      </c>
      <c r="N20" s="6" t="s">
        <v>61</v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G21" s="10"/>
      <c r="H21" s="10"/>
      <c r="I21" s="14"/>
      <c r="K21" s="10"/>
      <c r="L21" s="14"/>
      <c r="M21" s="11"/>
      <c r="N21" s="10"/>
    </row>
    <row r="22" customFormat="false" ht="15" hidden="false" customHeight="false" outlineLevel="0" collapsed="false">
      <c r="A22" s="10"/>
      <c r="B22" s="11"/>
      <c r="C22" s="10"/>
      <c r="D22" s="10"/>
      <c r="E22" s="14"/>
      <c r="G22" s="10"/>
      <c r="H22" s="10"/>
      <c r="I22" s="14"/>
      <c r="K22" s="10"/>
      <c r="L22" s="14"/>
      <c r="M22" s="11"/>
      <c r="N22" s="10"/>
    </row>
    <row r="23" customFormat="false" ht="15" hidden="false" customHeight="false" outlineLevel="0" collapsed="false">
      <c r="A23" s="10"/>
      <c r="B23" s="11"/>
      <c r="C23" s="10"/>
      <c r="D23" s="10"/>
      <c r="E23" s="14"/>
      <c r="G23" s="10"/>
      <c r="H23" s="10"/>
      <c r="I23" s="14"/>
      <c r="K23" s="10"/>
      <c r="L23" s="14"/>
      <c r="M23" s="11"/>
      <c r="N23" s="10"/>
    </row>
    <row r="24" customFormat="false" ht="15" hidden="false" customHeight="false" outlineLevel="0" collapsed="false">
      <c r="A24" s="10"/>
      <c r="B24" s="11"/>
      <c r="C24" s="10"/>
      <c r="D24" s="10"/>
      <c r="E24" s="14"/>
      <c r="K24" s="10"/>
      <c r="L24" s="14"/>
      <c r="M24" s="11"/>
      <c r="N24" s="10"/>
    </row>
    <row r="25" customFormat="false" ht="15" hidden="false" customHeight="true" outlineLevel="0" collapsed="false">
      <c r="A25" s="10"/>
      <c r="B25" s="11"/>
      <c r="C25" s="10"/>
      <c r="D25" s="10"/>
      <c r="E25" s="14"/>
      <c r="G25" s="6" t="s">
        <v>62</v>
      </c>
      <c r="H25" s="6"/>
      <c r="I25" s="6"/>
      <c r="K25" s="10"/>
      <c r="L25" s="14"/>
      <c r="M25" s="11"/>
      <c r="N25" s="10"/>
    </row>
    <row r="26" customFormat="false" ht="15" hidden="false" customHeight="true" outlineLevel="0" collapsed="false">
      <c r="A26" s="10"/>
      <c r="B26" s="11"/>
      <c r="C26" s="10"/>
      <c r="D26" s="10"/>
      <c r="E26" s="14"/>
      <c r="G26" s="31" t="s">
        <v>63</v>
      </c>
      <c r="H26" s="31"/>
      <c r="I26" s="14"/>
      <c r="K26" s="10"/>
      <c r="L26" s="14"/>
      <c r="M26" s="11"/>
      <c r="N26" s="10"/>
    </row>
    <row r="27" customFormat="false" ht="15" hidden="false" customHeight="true" outlineLevel="0" collapsed="false">
      <c r="A27" s="10"/>
      <c r="B27" s="11"/>
      <c r="C27" s="10"/>
      <c r="D27" s="10"/>
      <c r="E27" s="14"/>
      <c r="G27" s="31" t="s">
        <v>64</v>
      </c>
      <c r="H27" s="31"/>
      <c r="I27" s="14"/>
      <c r="K27" s="10"/>
      <c r="L27" s="14"/>
      <c r="M27" s="11"/>
      <c r="N27" s="10"/>
    </row>
    <row r="28" customFormat="false" ht="15" hidden="false" customHeight="true" outlineLevel="0" collapsed="false">
      <c r="A28" s="10"/>
      <c r="B28" s="11"/>
      <c r="C28" s="10"/>
      <c r="D28" s="10"/>
      <c r="E28" s="14"/>
      <c r="G28" s="32" t="s">
        <v>57</v>
      </c>
      <c r="H28" s="32"/>
      <c r="I28" s="9" t="n">
        <f aca="false">SUM(I26:I27)</f>
        <v>0</v>
      </c>
      <c r="K28" s="10"/>
      <c r="L28" s="14"/>
      <c r="M28" s="11"/>
      <c r="N28" s="10"/>
    </row>
    <row r="29" customFormat="false" ht="15" hidden="false" customHeight="false" outlineLevel="0" collapsed="false">
      <c r="A29" s="10"/>
      <c r="B29" s="11"/>
      <c r="C29" s="10"/>
      <c r="D29" s="10"/>
      <c r="E29" s="14"/>
      <c r="K29" s="10"/>
      <c r="L29" s="14"/>
      <c r="M29" s="11"/>
      <c r="N29" s="10"/>
    </row>
    <row r="30" customFormat="false" ht="15" hidden="false" customHeight="true" outlineLevel="0" collapsed="false">
      <c r="A30" s="10"/>
      <c r="B30" s="11"/>
      <c r="C30" s="10"/>
      <c r="D30" s="10"/>
      <c r="E30" s="14"/>
      <c r="G30" s="6" t="s">
        <v>65</v>
      </c>
      <c r="H30" s="6"/>
      <c r="I30" s="6"/>
      <c r="K30" s="10"/>
      <c r="L30" s="14"/>
      <c r="M30" s="11"/>
      <c r="N30" s="10"/>
    </row>
    <row r="31" customFormat="false" ht="15" hidden="false" customHeight="true" outlineLevel="0" collapsed="false">
      <c r="A31" s="10"/>
      <c r="B31" s="11"/>
      <c r="C31" s="10"/>
      <c r="D31" s="10"/>
      <c r="E31" s="14"/>
      <c r="G31" s="12" t="s">
        <v>36</v>
      </c>
      <c r="H31" s="12"/>
      <c r="I31" s="14" t="n">
        <f aca="false">SUMIF($C$5:$C$64,$G31,$E$5:$E$64)+SUMIF($G$5:$G$12,$G31,$I$5:$I$12)+SUMIF($G$16:$G$23,$G31,$I$16:$I$23)</f>
        <v>499.75</v>
      </c>
    </row>
    <row r="32" customFormat="false" ht="15" hidden="false" customHeight="true" outlineLevel="0" collapsed="false">
      <c r="A32" s="10"/>
      <c r="B32" s="11"/>
      <c r="C32" s="10"/>
      <c r="D32" s="10"/>
      <c r="E32" s="14"/>
      <c r="G32" s="17" t="s">
        <v>40</v>
      </c>
      <c r="H32" s="17"/>
      <c r="I32" s="14" t="n">
        <f aca="false">SUMIF($C$5:$C$64,$G32,$E$5:$E$64)+SUMIF($G$5:$G$12,$G32,$I$5:$I$12)+SUMIF($G$16:$G$23,$G32,$I$16:$I$23)</f>
        <v>56.9</v>
      </c>
      <c r="K32" s="6" t="s">
        <v>66</v>
      </c>
      <c r="L32" s="6"/>
      <c r="M32" s="6"/>
      <c r="N32" s="6"/>
    </row>
    <row r="33" customFormat="false" ht="15" hidden="false" customHeight="true" outlineLevel="0" collapsed="false">
      <c r="A33" s="10"/>
      <c r="B33" s="11"/>
      <c r="C33" s="10"/>
      <c r="D33" s="10"/>
      <c r="E33" s="14"/>
      <c r="G33" s="18" t="s">
        <v>42</v>
      </c>
      <c r="H33" s="18"/>
      <c r="I33" s="14" t="n">
        <f aca="false">SUMIF($C$5:$C$64,$G33,$E$5:$E$64)+SUMIF($G$5:$G$12,$G33,$I$5:$I$12)+SUMIF($G$16:$G$23,$G33,$I$16:$I$23)</f>
        <v>18.75</v>
      </c>
      <c r="K33" s="31" t="s">
        <v>67</v>
      </c>
      <c r="L33" s="31"/>
      <c r="M33" s="31"/>
      <c r="N33" s="33" t="n">
        <f aca="false">COUNT($E$5:$E$64)</f>
        <v>5</v>
      </c>
    </row>
    <row r="34" customFormat="false" ht="15" hidden="false" customHeight="true" outlineLevel="0" collapsed="false">
      <c r="A34" s="10"/>
      <c r="B34" s="11"/>
      <c r="C34" s="10"/>
      <c r="D34" s="10"/>
      <c r="E34" s="14"/>
      <c r="G34" s="23" t="s">
        <v>49</v>
      </c>
      <c r="H34" s="23"/>
      <c r="I34" s="14" t="n">
        <f aca="false">SUMIF($C$5:$C$64,$G34,$E$5:$E$64)+SUMIF($G$5:$G$12,$G34,$I$5:$I$12)+SUMIF($G$16:$G$23,$G34,$I$16:$I$23)</f>
        <v>74.2</v>
      </c>
      <c r="K34" s="31" t="s">
        <v>68</v>
      </c>
      <c r="L34" s="31"/>
      <c r="M34" s="31"/>
      <c r="N34" s="14" t="n">
        <f aca="false">IF(COUNT($E$5:$E$64)=0,0,MAX($E$5:$E$64))</f>
        <v>312.45</v>
      </c>
    </row>
    <row r="35" customFormat="false" ht="15" hidden="false" customHeight="true" outlineLevel="0" collapsed="false">
      <c r="A35" s="10"/>
      <c r="B35" s="11"/>
      <c r="C35" s="10"/>
      <c r="D35" s="10"/>
      <c r="E35" s="14"/>
      <c r="G35" s="34" t="s">
        <v>69</v>
      </c>
      <c r="H35" s="34"/>
      <c r="I35" s="14" t="n">
        <f aca="false">SUMIF($C$5:$C$64,$G35,$E$5:$E$64)+SUMIF($G$5:$G$12,$G35,$I$5:$I$12)+SUMIF($G$16:$G$23,$G35,$I$16:$I$23)</f>
        <v>0</v>
      </c>
      <c r="K35" s="31" t="s">
        <v>70</v>
      </c>
      <c r="L35" s="31"/>
      <c r="M35" s="31"/>
      <c r="N35" s="33" t="str">
        <f aca="false">IF($E$3=0,"—",INDEX($A$5:$A$64,MATCH(MAX($E$5:$E$64),$E$5:$E$64,0)))</f>
        <v>Supermercado (exemplo)</v>
      </c>
    </row>
    <row r="36" customFormat="false" ht="15" hidden="false" customHeight="true" outlineLevel="0" collapsed="false">
      <c r="A36" s="10"/>
      <c r="B36" s="11"/>
      <c r="C36" s="10"/>
      <c r="D36" s="10"/>
      <c r="E36" s="14"/>
      <c r="G36" s="28" t="s">
        <v>56</v>
      </c>
      <c r="H36" s="28"/>
      <c r="I36" s="14" t="n">
        <f aca="false">SUMIF($C$5:$C$64,$G36,$E$5:$E$64)+SUMIF($G$5:$G$12,$G36,$I$5:$I$12)+SUMIF($G$16:$G$23,$G36,$I$16:$I$23)</f>
        <v>0</v>
      </c>
      <c r="K36" s="31" t="s">
        <v>71</v>
      </c>
      <c r="L36" s="31"/>
      <c r="M36" s="31"/>
      <c r="N36" s="33" t="str">
        <f aca="false">IF($E$3=0,"—",INDEX($K$5:$K$16,MATCH(MAX($M$5:$M$16),$M$5:$M$16,0)))</f>
        <v>Mercado</v>
      </c>
    </row>
    <row r="37" customFormat="false" ht="15" hidden="false" customHeight="true" outlineLevel="0" collapsed="false">
      <c r="A37" s="10"/>
      <c r="B37" s="11"/>
      <c r="C37" s="10"/>
      <c r="D37" s="10"/>
      <c r="E37" s="14"/>
      <c r="G37" s="10" t="s">
        <v>72</v>
      </c>
      <c r="H37" s="10"/>
      <c r="I37" s="14"/>
      <c r="K37" s="31" t="s">
        <v>73</v>
      </c>
      <c r="L37" s="31"/>
      <c r="M37" s="31"/>
      <c r="N37" s="14" t="n">
        <f aca="false">IFERROR(AVERAGE($E$5:$E$64),0)</f>
        <v>129.92</v>
      </c>
    </row>
    <row r="38" customFormat="false" ht="15" hidden="false" customHeight="true" outlineLevel="0" collapsed="false">
      <c r="A38" s="10"/>
      <c r="B38" s="11"/>
      <c r="C38" s="10"/>
      <c r="D38" s="10"/>
      <c r="E38" s="14"/>
      <c r="G38" s="10" t="s">
        <v>74</v>
      </c>
      <c r="H38" s="10"/>
      <c r="I38" s="14"/>
      <c r="K38" s="31" t="s">
        <v>75</v>
      </c>
      <c r="L38" s="31"/>
      <c r="M38" s="31"/>
      <c r="N38" s="14" t="n">
        <f aca="false">IFERROR($E$3/DAY(EOMONTH(DATE(2026,1,1),0)),0)</f>
        <v>20.9548387096774</v>
      </c>
    </row>
    <row r="39" customFormat="false" ht="15" hidden="false" customHeight="true" outlineLevel="0" collapsed="false">
      <c r="A39" s="10"/>
      <c r="B39" s="11"/>
      <c r="C39" s="10"/>
      <c r="D39" s="10"/>
      <c r="E39" s="14"/>
      <c r="G39" s="29" t="s">
        <v>76</v>
      </c>
      <c r="H39" s="29"/>
      <c r="I39" s="9" t="n">
        <f aca="false">SUM(I31:I38)</f>
        <v>649.6</v>
      </c>
      <c r="K39" s="31" t="s">
        <v>77</v>
      </c>
      <c r="L39" s="31"/>
      <c r="M39" s="31"/>
      <c r="N39" s="16" t="n">
        <f aca="false">IFERROR($I$39/$I$28,0)</f>
        <v>0</v>
      </c>
    </row>
    <row r="40" customFormat="false" ht="15" hidden="false" customHeight="false" outlineLevel="0" collapsed="false">
      <c r="A40" s="10"/>
      <c r="B40" s="11"/>
      <c r="C40" s="10"/>
      <c r="D40" s="10"/>
      <c r="E40" s="14"/>
    </row>
    <row r="41" customFormat="false" ht="15" hidden="false" customHeight="true" outlineLevel="0" collapsed="false">
      <c r="A41" s="10"/>
      <c r="B41" s="11"/>
      <c r="C41" s="10"/>
      <c r="D41" s="10"/>
      <c r="E41" s="14"/>
      <c r="G41" s="6" t="s">
        <v>78</v>
      </c>
      <c r="H41" s="6"/>
      <c r="I41" s="6"/>
    </row>
    <row r="42" customFormat="false" ht="15" hidden="false" customHeight="true" outlineLevel="0" collapsed="false">
      <c r="A42" s="10"/>
      <c r="B42" s="11"/>
      <c r="C42" s="10"/>
      <c r="D42" s="10"/>
      <c r="E42" s="14"/>
      <c r="G42" s="10" t="s">
        <v>72</v>
      </c>
      <c r="H42" s="10"/>
      <c r="I42" s="14"/>
    </row>
    <row r="43" customFormat="false" ht="15" hidden="false" customHeight="true" outlineLevel="0" collapsed="false">
      <c r="A43" s="10"/>
      <c r="B43" s="11"/>
      <c r="C43" s="10"/>
      <c r="D43" s="10"/>
      <c r="E43" s="14"/>
      <c r="G43" s="10" t="s">
        <v>79</v>
      </c>
      <c r="H43" s="10"/>
      <c r="I43" s="14"/>
    </row>
    <row r="44" customFormat="false" ht="15" hidden="false" customHeight="true" outlineLevel="0" collapsed="false">
      <c r="A44" s="10"/>
      <c r="B44" s="11"/>
      <c r="C44" s="10"/>
      <c r="D44" s="10"/>
      <c r="E44" s="14"/>
      <c r="G44" s="29" t="s">
        <v>57</v>
      </c>
      <c r="H44" s="29"/>
      <c r="I44" s="9" t="n">
        <f aca="false">SUM(I42:I43)</f>
        <v>0</v>
      </c>
    </row>
    <row r="45" customFormat="false" ht="15" hidden="false" customHeight="false" outlineLevel="0" collapsed="false">
      <c r="A45" s="10"/>
      <c r="B45" s="11"/>
      <c r="C45" s="10"/>
      <c r="D45" s="10"/>
      <c r="E45" s="14"/>
    </row>
    <row r="46" customFormat="false" ht="15" hidden="false" customHeight="true" outlineLevel="0" collapsed="false">
      <c r="A46" s="10"/>
      <c r="B46" s="11"/>
      <c r="C46" s="10"/>
      <c r="D46" s="10"/>
      <c r="E46" s="14"/>
      <c r="G46" s="6" t="s">
        <v>80</v>
      </c>
      <c r="H46" s="6"/>
      <c r="I46" s="6"/>
    </row>
    <row r="47" customFormat="false" ht="31.5" hidden="false" customHeight="true" outlineLevel="0" collapsed="false">
      <c r="A47" s="10"/>
      <c r="B47" s="11"/>
      <c r="C47" s="10"/>
      <c r="D47" s="10"/>
      <c r="E47" s="14"/>
      <c r="G47" s="35" t="n">
        <f aca="false">I28-I39</f>
        <v>-649.6</v>
      </c>
      <c r="H47" s="35"/>
      <c r="I47" s="35"/>
    </row>
    <row r="48" customFormat="false" ht="15" hidden="false" customHeight="false" outlineLevel="0" collapsed="false">
      <c r="A48" s="10"/>
      <c r="B48" s="11"/>
      <c r="C48" s="10"/>
      <c r="D48" s="10"/>
      <c r="E48" s="14"/>
    </row>
    <row r="49" customFormat="false" ht="15" hidden="false" customHeight="false" outlineLevel="0" collapsed="false">
      <c r="A49" s="10"/>
      <c r="B49" s="11"/>
      <c r="C49" s="10"/>
      <c r="D49" s="10"/>
      <c r="E49" s="14"/>
    </row>
    <row r="50" customFormat="false" ht="15" hidden="false" customHeight="false" outlineLevel="0" collapsed="false">
      <c r="A50" s="10"/>
      <c r="B50" s="11"/>
      <c r="C50" s="10"/>
      <c r="D50" s="10"/>
      <c r="E50" s="14"/>
    </row>
    <row r="51" customFormat="false" ht="15" hidden="false" customHeight="false" outlineLevel="0" collapsed="false">
      <c r="A51" s="10"/>
      <c r="B51" s="11"/>
      <c r="C51" s="10"/>
      <c r="D51" s="10"/>
      <c r="E51" s="14"/>
    </row>
    <row r="52" customFormat="false" ht="15" hidden="false" customHeight="false" outlineLevel="0" collapsed="false">
      <c r="A52" s="10"/>
      <c r="B52" s="11"/>
      <c r="C52" s="10"/>
      <c r="D52" s="10"/>
      <c r="E52" s="14"/>
    </row>
    <row r="53" customFormat="false" ht="15" hidden="false" customHeight="false" outlineLevel="0" collapsed="false">
      <c r="A53" s="10"/>
      <c r="B53" s="11"/>
      <c r="C53" s="10"/>
      <c r="D53" s="10"/>
      <c r="E53" s="14"/>
    </row>
    <row r="54" customFormat="false" ht="15" hidden="false" customHeight="false" outlineLevel="0" collapsed="false">
      <c r="A54" s="10"/>
      <c r="B54" s="11"/>
      <c r="C54" s="10"/>
      <c r="D54" s="10"/>
      <c r="E54" s="14"/>
    </row>
    <row r="55" customFormat="false" ht="15" hidden="false" customHeight="false" outlineLevel="0" collapsed="false">
      <c r="A55" s="10"/>
      <c r="B55" s="11"/>
      <c r="C55" s="10"/>
      <c r="D55" s="10"/>
      <c r="E55" s="14"/>
    </row>
    <row r="56" customFormat="false" ht="15" hidden="false" customHeight="false" outlineLevel="0" collapsed="false">
      <c r="A56" s="10"/>
      <c r="B56" s="11"/>
      <c r="C56" s="10"/>
      <c r="D56" s="10"/>
      <c r="E56" s="14"/>
    </row>
    <row r="57" customFormat="false" ht="15" hidden="false" customHeight="false" outlineLevel="0" collapsed="false">
      <c r="A57" s="10"/>
      <c r="B57" s="11"/>
      <c r="C57" s="10"/>
      <c r="D57" s="10"/>
      <c r="E57" s="14"/>
    </row>
    <row r="58" customFormat="false" ht="15" hidden="false" customHeight="false" outlineLevel="0" collapsed="false">
      <c r="A58" s="10"/>
      <c r="B58" s="11"/>
      <c r="C58" s="10"/>
      <c r="D58" s="10"/>
      <c r="E58" s="14"/>
    </row>
    <row r="59" customFormat="false" ht="15" hidden="false" customHeight="false" outlineLevel="0" collapsed="false">
      <c r="A59" s="10"/>
      <c r="B59" s="11"/>
      <c r="C59" s="10"/>
      <c r="D59" s="10"/>
      <c r="E59" s="14"/>
    </row>
    <row r="60" customFormat="false" ht="15" hidden="false" customHeight="false" outlineLevel="0" collapsed="false">
      <c r="A60" s="10"/>
      <c r="B60" s="11"/>
      <c r="C60" s="10"/>
      <c r="D60" s="10"/>
      <c r="E60" s="14"/>
    </row>
    <row r="61" customFormat="false" ht="15" hidden="false" customHeight="false" outlineLevel="0" collapsed="false">
      <c r="A61" s="10"/>
      <c r="B61" s="11"/>
      <c r="C61" s="10"/>
      <c r="D61" s="10"/>
      <c r="E61" s="14"/>
    </row>
    <row r="62" customFormat="false" ht="15" hidden="false" customHeight="false" outlineLevel="0" collapsed="false">
      <c r="A62" s="10"/>
      <c r="B62" s="11"/>
      <c r="C62" s="10"/>
      <c r="D62" s="10"/>
      <c r="E62" s="14"/>
    </row>
    <row r="63" customFormat="false" ht="15" hidden="false" customHeight="false" outlineLevel="0" collapsed="false">
      <c r="A63" s="10"/>
      <c r="B63" s="11"/>
      <c r="C63" s="10"/>
      <c r="D63" s="10"/>
      <c r="E63" s="14"/>
    </row>
    <row r="64" customFormat="false" ht="15" hidden="false" customHeight="false" outlineLevel="0" collapsed="false">
      <c r="A64" s="10"/>
      <c r="B64" s="11"/>
      <c r="C64" s="10"/>
      <c r="D64" s="10"/>
      <c r="E64" s="14"/>
    </row>
  </sheetData>
  <mergeCells count="34">
    <mergeCell ref="A1:N1"/>
    <mergeCell ref="A3:C3"/>
    <mergeCell ref="G3:H3"/>
    <mergeCell ref="K3:N3"/>
    <mergeCell ref="G14:H14"/>
    <mergeCell ref="K19:N19"/>
    <mergeCell ref="G25:I25"/>
    <mergeCell ref="G26:H26"/>
    <mergeCell ref="G27:H27"/>
    <mergeCell ref="G28:H28"/>
    <mergeCell ref="G30:I30"/>
    <mergeCell ref="G31:H31"/>
    <mergeCell ref="G32:H32"/>
    <mergeCell ref="K32:N32"/>
    <mergeCell ref="G33:H33"/>
    <mergeCell ref="K33:M33"/>
    <mergeCell ref="G34:H34"/>
    <mergeCell ref="K34:M34"/>
    <mergeCell ref="G35:H35"/>
    <mergeCell ref="K35:M35"/>
    <mergeCell ref="G36:H36"/>
    <mergeCell ref="K36:M36"/>
    <mergeCell ref="G37:H37"/>
    <mergeCell ref="K37:M37"/>
    <mergeCell ref="G38:H38"/>
    <mergeCell ref="K38:M38"/>
    <mergeCell ref="G39:H39"/>
    <mergeCell ref="K39:M39"/>
    <mergeCell ref="G41:I41"/>
    <mergeCell ref="G42:H42"/>
    <mergeCell ref="G43:H43"/>
    <mergeCell ref="G44:H44"/>
    <mergeCell ref="G46:I46"/>
    <mergeCell ref="G47:I47"/>
  </mergeCells>
  <conditionalFormatting sqref="C5:C64">
    <cfRule type="containsText" priority="2" operator="containsText" aboveAverage="0" equalAverage="0" bottom="0" percent="0" rank="0" text="Débito" dxfId="0">
      <formula>NOT(ISERROR(SEARCH("Débito",C5)))</formula>
    </cfRule>
    <cfRule type="containsText" priority="3" operator="containsText" aboveAverage="0" equalAverage="0" bottom="0" percent="0" rank="0" text="Crédito" dxfId="1">
      <formula>NOT(ISERROR(SEARCH("Crédito",C5)))</formula>
    </cfRule>
    <cfRule type="containsText" priority="4" operator="containsText" aboveAverage="0" equalAverage="0" bottom="0" percent="0" rank="0" text="Pix" dxfId="2">
      <formula>NOT(ISERROR(SEARCH("Pix",C5)))</formula>
    </cfRule>
    <cfRule type="containsText" priority="5" operator="containsText" aboveAverage="0" equalAverage="0" bottom="0" percent="0" rank="0" text="Dinheiro" dxfId="3">
      <formula>NOT(ISERROR(SEARCH("Dinheiro",C5)))</formula>
    </cfRule>
    <cfRule type="containsText" priority="6" operator="containsText" aboveAverage="0" equalAverage="0" bottom="0" percent="0" rank="0" text="Voucher" dxfId="4">
      <formula>NOT(ISERROR(SEARCH("Voucher",C5)))</formula>
    </cfRule>
    <cfRule type="containsText" priority="7" operator="containsText" aboveAverage="0" equalAverage="0" bottom="0" percent="0" rank="0" text="Outros" dxfId="5">
      <formula>NOT(ISERROR(SEARCH("Outros",C5)))</formula>
    </cfRule>
  </conditionalFormatting>
  <conditionalFormatting sqref="D5:D64">
    <cfRule type="containsText" priority="8" operator="containsText" aboveAverage="0" equalAverage="0" bottom="0" percent="0" rank="0" text="Mercado" dxfId="6">
      <formula>NOT(ISERROR(SEARCH("Mercado",D5)))</formula>
    </cfRule>
    <cfRule type="containsText" priority="9" operator="containsText" aboveAverage="0" equalAverage="0" bottom="0" percent="0" rank="0" text="Alimentação" dxfId="7">
      <formula>NOT(ISERROR(SEARCH("Alimentação",D5)))</formula>
    </cfRule>
    <cfRule type="containsText" priority="10" operator="containsText" aboveAverage="0" equalAverage="0" bottom="0" percent="0" rank="0" text="Farmácia" dxfId="8">
      <formula>NOT(ISERROR(SEARCH("Farmácia",D5)))</formula>
    </cfRule>
    <cfRule type="containsText" priority="11" operator="containsText" aboveAverage="0" equalAverage="0" bottom="0" percent="0" rank="0" text="Combustível" dxfId="9">
      <formula>NOT(ISERROR(SEARCH("Combustível",D5)))</formula>
    </cfRule>
    <cfRule type="containsText" priority="12" operator="containsText" aboveAverage="0" equalAverage="0" bottom="0" percent="0" rank="0" text="Transporte" dxfId="10">
      <formula>NOT(ISERROR(SEARCH("Transporte",D5)))</formula>
    </cfRule>
    <cfRule type="containsText" priority="13" operator="containsText" aboveAverage="0" equalAverage="0" bottom="0" percent="0" rank="0" text="Vestuário" dxfId="1">
      <formula>NOT(ISERROR(SEARCH("Vestuário",D5)))</formula>
    </cfRule>
    <cfRule type="containsText" priority="14" operator="containsText" aboveAverage="0" equalAverage="0" bottom="0" percent="0" rank="0" text="Eletrônicos" dxfId="11">
      <formula>NOT(ISERROR(SEARCH("Eletrônicos",D5)))</formula>
    </cfRule>
    <cfRule type="containsText" priority="15" operator="containsText" aboveAverage="0" equalAverage="0" bottom="0" percent="0" rank="0" text="Casa" dxfId="12">
      <formula>NOT(ISERROR(SEARCH("Casa",D5)))</formula>
    </cfRule>
    <cfRule type="containsText" priority="16" operator="containsText" aboveAverage="0" equalAverage="0" bottom="0" percent="0" rank="0" text="Saúde" dxfId="13">
      <formula>NOT(ISERROR(SEARCH("Saúde",D5)))</formula>
    </cfRule>
    <cfRule type="containsText" priority="17" operator="containsText" aboveAverage="0" equalAverage="0" bottom="0" percent="0" rank="0" text="Lazer" dxfId="14">
      <formula>NOT(ISERROR(SEARCH("Lazer",D5)))</formula>
    </cfRule>
    <cfRule type="containsText" priority="18" operator="containsText" aboveAverage="0" equalAverage="0" bottom="0" percent="0" rank="0" text="Serviços" dxfId="15">
      <formula>NOT(ISERROR(SEARCH("Serviços",D5)))</formula>
    </cfRule>
    <cfRule type="containsText" priority="19" operator="containsText" aboveAverage="0" equalAverage="0" bottom="0" percent="0" rank="0" text="Outros" dxfId="5">
      <formula>NOT(ISERROR(SEARCH("Outros",D5)))</formula>
    </cfRule>
  </conditionalFormatting>
  <dataValidations count="3">
    <dataValidation allowBlank="true" errorStyle="stop" operator="between" showDropDown="false" showErrorMessage="false" showInputMessage="false" sqref="D5:D24 H5:H12 H16:H23 D25:D64" type="list">
      <formula1>"Alimentação,Mercado,Farmácia,Combustível,Transporte,Vestuário,Eletrônicos,Casa,Saúde,Lazer,Serviços,Outros"</formula1>
      <formula2>0</formula2>
    </dataValidation>
    <dataValidation allowBlank="true" errorStyle="stop" operator="between" showDropDown="false" showErrorMessage="false" showInputMessage="false" sqref="C5:C24 G5:G12 G16:G23 C25:C64" type="list">
      <formula1>"Débito,Crédito,Pix,Dinheiro,Voucher,Outros"</formula1>
      <formula2>0</formula2>
    </dataValidation>
    <dataValidation allowBlank="true" errorStyle="stop" operator="between" showDropDown="false" showErrorMessage="false" showInputMessage="false" sqref="N21:N3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88A89"/>
    <pageSetUpPr fitToPage="false"/>
  </sheetPr>
  <dimension ref="A1:N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2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2"/>
    <col collapsed="false" customWidth="true" hidden="false" outlineLevel="0" max="11" min="11" style="0" width="17"/>
    <col collapsed="false" customWidth="true" hidden="false" outlineLevel="0" max="12" min="12" style="0" width="13"/>
    <col collapsed="false" customWidth="true" hidden="false" outlineLevel="0" max="14" min="13" style="0" width="12"/>
    <col collapsed="false" customWidth="true" hidden="false" outlineLevel="0" max="15" min="15" style="0" width="2"/>
  </cols>
  <sheetData>
    <row r="1" customFormat="false" ht="33.75" hidden="false" customHeight="true" outlineLevel="0" collapsed="false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9.7" hidden="false" customHeight="true" outlineLevel="0" collapsed="false">
      <c r="A3" s="6" t="s">
        <v>23</v>
      </c>
      <c r="B3" s="6"/>
      <c r="C3" s="6"/>
      <c r="D3" s="7" t="s">
        <v>24</v>
      </c>
      <c r="E3" s="8" t="n">
        <f aca="false">SUM(E5:E64)</f>
        <v>0</v>
      </c>
      <c r="G3" s="6" t="s">
        <v>25</v>
      </c>
      <c r="H3" s="6"/>
      <c r="I3" s="9" t="n">
        <f aca="false">SUM(I5:I12)</f>
        <v>0</v>
      </c>
      <c r="K3" s="6" t="s">
        <v>26</v>
      </c>
      <c r="L3" s="6"/>
      <c r="M3" s="6"/>
      <c r="N3" s="6"/>
    </row>
    <row r="4" customFormat="false" ht="15" hidden="false" customHeight="false" outlineLevel="0" collapsed="false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G4" s="6" t="s">
        <v>29</v>
      </c>
      <c r="H4" s="6" t="s">
        <v>30</v>
      </c>
      <c r="I4" s="6" t="s">
        <v>31</v>
      </c>
      <c r="K4" s="6" t="s">
        <v>30</v>
      </c>
      <c r="L4" s="6" t="s">
        <v>32</v>
      </c>
      <c r="M4" s="6" t="s">
        <v>33</v>
      </c>
      <c r="N4" s="6" t="s">
        <v>34</v>
      </c>
    </row>
    <row r="5" customFormat="false" ht="15" hidden="false" customHeight="false" outlineLevel="0" collapsed="false">
      <c r="A5" s="10"/>
      <c r="B5" s="11"/>
      <c r="C5" s="10"/>
      <c r="D5" s="10"/>
      <c r="E5" s="14"/>
      <c r="G5" s="10"/>
      <c r="H5" s="10"/>
      <c r="I5" s="14"/>
      <c r="K5" s="15" t="s">
        <v>38</v>
      </c>
      <c r="L5" s="14"/>
      <c r="M5" s="14" t="n">
        <f aca="false">SUMIF($D$5:$D$64,$K5,$E$5:$E$64)</f>
        <v>0</v>
      </c>
      <c r="N5" s="16" t="n">
        <f aca="false">IFERROR(M5/$E$3,0)</f>
        <v>0</v>
      </c>
    </row>
    <row r="6" customFormat="false" ht="15" hidden="false" customHeight="false" outlineLevel="0" collapsed="false">
      <c r="A6" s="10"/>
      <c r="B6" s="11"/>
      <c r="C6" s="10"/>
      <c r="D6" s="10"/>
      <c r="E6" s="14"/>
      <c r="G6" s="10"/>
      <c r="H6" s="10"/>
      <c r="I6" s="14"/>
      <c r="K6" s="13" t="s">
        <v>37</v>
      </c>
      <c r="L6" s="14"/>
      <c r="M6" s="14" t="n">
        <f aca="false">SUMIF($D$5:$D$64,$K6,$E$5:$E$64)</f>
        <v>0</v>
      </c>
      <c r="N6" s="16" t="n">
        <f aca="false">IFERROR(M6/$E$3,0)</f>
        <v>0</v>
      </c>
    </row>
    <row r="7" customFormat="false" ht="15" hidden="false" customHeight="false" outlineLevel="0" collapsed="false">
      <c r="A7" s="10"/>
      <c r="B7" s="11"/>
      <c r="C7" s="10"/>
      <c r="D7" s="10"/>
      <c r="E7" s="14"/>
      <c r="G7" s="10"/>
      <c r="H7" s="10"/>
      <c r="I7" s="14"/>
      <c r="K7" s="20" t="s">
        <v>44</v>
      </c>
      <c r="L7" s="14"/>
      <c r="M7" s="14" t="n">
        <f aca="false">SUMIF($D$5:$D$64,$K7,$E$5:$E$64)</f>
        <v>0</v>
      </c>
      <c r="N7" s="16" t="n">
        <f aca="false">IFERROR(M7/$E$3,0)</f>
        <v>0</v>
      </c>
    </row>
    <row r="8" customFormat="false" ht="15" hidden="false" customHeight="false" outlineLevel="0" collapsed="false">
      <c r="A8" s="10"/>
      <c r="B8" s="11"/>
      <c r="C8" s="10"/>
      <c r="D8" s="10"/>
      <c r="E8" s="14"/>
      <c r="G8" s="10"/>
      <c r="H8" s="10"/>
      <c r="I8" s="14"/>
      <c r="K8" s="22" t="s">
        <v>47</v>
      </c>
      <c r="L8" s="14"/>
      <c r="M8" s="14" t="n">
        <f aca="false">SUMIF($D$5:$D$64,$K8,$E$5:$E$64)</f>
        <v>0</v>
      </c>
      <c r="N8" s="16" t="n">
        <f aca="false">IFERROR(M8/$E$3,0)</f>
        <v>0</v>
      </c>
    </row>
    <row r="9" customFormat="false" ht="15" hidden="false" customHeight="false" outlineLevel="0" collapsed="false">
      <c r="A9" s="10"/>
      <c r="B9" s="11"/>
      <c r="C9" s="10"/>
      <c r="D9" s="10"/>
      <c r="E9" s="14"/>
      <c r="G9" s="10"/>
      <c r="H9" s="10"/>
      <c r="I9" s="14"/>
      <c r="K9" s="19" t="s">
        <v>43</v>
      </c>
      <c r="L9" s="14"/>
      <c r="M9" s="14" t="n">
        <f aca="false">SUMIF($D$5:$D$64,$K9,$E$5:$E$64)</f>
        <v>0</v>
      </c>
      <c r="N9" s="16" t="n">
        <f aca="false">IFERROR(M9/$E$3,0)</f>
        <v>0</v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G10" s="10"/>
      <c r="H10" s="10"/>
      <c r="I10" s="14"/>
      <c r="K10" s="17" t="s">
        <v>50</v>
      </c>
      <c r="L10" s="14"/>
      <c r="M10" s="14" t="n">
        <f aca="false">SUMIF($D$5:$D$64,$K10,$E$5:$E$64)</f>
        <v>0</v>
      </c>
      <c r="N10" s="16" t="n">
        <f aca="false">IFERROR(M10/$E$3,0)</f>
        <v>0</v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G11" s="10"/>
      <c r="H11" s="10"/>
      <c r="I11" s="14"/>
      <c r="K11" s="24" t="s">
        <v>51</v>
      </c>
      <c r="L11" s="14"/>
      <c r="M11" s="14" t="n">
        <f aca="false">SUMIF($D$5:$D$64,$K11,$E$5:$E$64)</f>
        <v>0</v>
      </c>
      <c r="N11" s="16" t="n">
        <f aca="false">IFERROR(M11/$E$3,0)</f>
        <v>0</v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G12" s="10"/>
      <c r="H12" s="10"/>
      <c r="I12" s="14"/>
      <c r="K12" s="21" t="s">
        <v>46</v>
      </c>
      <c r="L12" s="14"/>
      <c r="M12" s="14" t="n">
        <f aca="false">SUMIF($D$5:$D$64,$K12,$E$5:$E$64)</f>
        <v>0</v>
      </c>
      <c r="N12" s="16" t="n">
        <f aca="false">IFERROR(M12/$E$3,0)</f>
        <v>0</v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K13" s="25" t="s">
        <v>52</v>
      </c>
      <c r="L13" s="14"/>
      <c r="M13" s="14" t="n">
        <f aca="false">SUMIF($D$5:$D$64,$K13,$E$5:$E$64)</f>
        <v>0</v>
      </c>
      <c r="N13" s="16" t="n">
        <f aca="false">IFERROR(M13/$E$3,0)</f>
        <v>0</v>
      </c>
    </row>
    <row r="14" customFormat="false" ht="26.85" hidden="false" customHeight="true" outlineLevel="0" collapsed="false">
      <c r="A14" s="10"/>
      <c r="B14" s="11"/>
      <c r="C14" s="10"/>
      <c r="D14" s="10"/>
      <c r="E14" s="14"/>
      <c r="G14" s="6" t="s">
        <v>53</v>
      </c>
      <c r="H14" s="6"/>
      <c r="I14" s="9" t="n">
        <f aca="false">SUM(I16:I23)</f>
        <v>0</v>
      </c>
      <c r="K14" s="26" t="s">
        <v>54</v>
      </c>
      <c r="L14" s="14"/>
      <c r="M14" s="14" t="n">
        <f aca="false">SUMIF($D$5:$D$64,$K14,$E$5:$E$64)</f>
        <v>0</v>
      </c>
      <c r="N14" s="16" t="n">
        <f aca="false">IFERROR(M14/$E$3,0)</f>
        <v>0</v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G15" s="6" t="s">
        <v>29</v>
      </c>
      <c r="H15" s="6" t="s">
        <v>30</v>
      </c>
      <c r="I15" s="6" t="s">
        <v>31</v>
      </c>
      <c r="K15" s="27" t="s">
        <v>55</v>
      </c>
      <c r="L15" s="14"/>
      <c r="M15" s="14" t="n">
        <f aca="false">SUMIF($D$5:$D$64,$K15,$E$5:$E$64)</f>
        <v>0</v>
      </c>
      <c r="N15" s="16" t="n">
        <f aca="false">IFERROR(M15/$E$3,0)</f>
        <v>0</v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G16" s="10"/>
      <c r="H16" s="10"/>
      <c r="I16" s="14"/>
      <c r="K16" s="28" t="s">
        <v>56</v>
      </c>
      <c r="L16" s="14"/>
      <c r="M16" s="14" t="n">
        <f aca="false">SUMIF($D$5:$D$64,$K16,$E$5:$E$64)</f>
        <v>0</v>
      </c>
      <c r="N16" s="16" t="n">
        <f aca="false">IFERROR(M16/$E$3,0)</f>
        <v>0</v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G17" s="10"/>
      <c r="H17" s="10"/>
      <c r="I17" s="14"/>
      <c r="K17" s="29" t="s">
        <v>57</v>
      </c>
      <c r="L17" s="9" t="n">
        <f aca="false">SUM(L5:L16)</f>
        <v>0</v>
      </c>
      <c r="M17" s="9" t="n">
        <f aca="false">SUM(M5:M16)</f>
        <v>0</v>
      </c>
      <c r="N17" s="30" t="n">
        <f aca="false">IFERROR(M17/$E$3,0)</f>
        <v>0</v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G18" s="10"/>
      <c r="H18" s="10"/>
      <c r="I18" s="14"/>
    </row>
    <row r="19" customFormat="false" ht="15" hidden="false" customHeight="true" outlineLevel="0" collapsed="false">
      <c r="A19" s="10"/>
      <c r="B19" s="11"/>
      <c r="C19" s="10"/>
      <c r="D19" s="10"/>
      <c r="E19" s="14"/>
      <c r="G19" s="10"/>
      <c r="H19" s="10"/>
      <c r="I19" s="14"/>
      <c r="K19" s="6" t="s">
        <v>58</v>
      </c>
      <c r="L19" s="6"/>
      <c r="M19" s="6"/>
      <c r="N19" s="6"/>
    </row>
    <row r="20" customFormat="false" ht="15" hidden="false" customHeight="false" outlineLevel="0" collapsed="false">
      <c r="A20" s="10"/>
      <c r="B20" s="11"/>
      <c r="C20" s="10"/>
      <c r="D20" s="10"/>
      <c r="E20" s="14"/>
      <c r="G20" s="10"/>
      <c r="H20" s="10"/>
      <c r="I20" s="14"/>
      <c r="K20" s="6" t="s">
        <v>59</v>
      </c>
      <c r="L20" s="6" t="s">
        <v>31</v>
      </c>
      <c r="M20" s="6" t="s">
        <v>60</v>
      </c>
      <c r="N20" s="6" t="s">
        <v>61</v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G21" s="10"/>
      <c r="H21" s="10"/>
      <c r="I21" s="14"/>
      <c r="K21" s="10"/>
      <c r="L21" s="14"/>
      <c r="M21" s="11"/>
      <c r="N21" s="10"/>
    </row>
    <row r="22" customFormat="false" ht="15" hidden="false" customHeight="false" outlineLevel="0" collapsed="false">
      <c r="A22" s="10"/>
      <c r="B22" s="11"/>
      <c r="C22" s="10"/>
      <c r="D22" s="10"/>
      <c r="E22" s="14"/>
      <c r="G22" s="10"/>
      <c r="H22" s="10"/>
      <c r="I22" s="14"/>
      <c r="K22" s="10"/>
      <c r="L22" s="14"/>
      <c r="M22" s="11"/>
      <c r="N22" s="10"/>
    </row>
    <row r="23" customFormat="false" ht="15" hidden="false" customHeight="false" outlineLevel="0" collapsed="false">
      <c r="A23" s="10"/>
      <c r="B23" s="11"/>
      <c r="C23" s="10"/>
      <c r="D23" s="10"/>
      <c r="E23" s="14"/>
      <c r="G23" s="10"/>
      <c r="H23" s="10"/>
      <c r="I23" s="14"/>
      <c r="K23" s="10"/>
      <c r="L23" s="14"/>
      <c r="M23" s="11"/>
      <c r="N23" s="10"/>
    </row>
    <row r="24" customFormat="false" ht="15" hidden="false" customHeight="false" outlineLevel="0" collapsed="false">
      <c r="A24" s="10"/>
      <c r="B24" s="11"/>
      <c r="C24" s="10"/>
      <c r="D24" s="10"/>
      <c r="E24" s="14"/>
      <c r="K24" s="10"/>
      <c r="L24" s="14"/>
      <c r="M24" s="11"/>
      <c r="N24" s="10"/>
    </row>
    <row r="25" customFormat="false" ht="15" hidden="false" customHeight="true" outlineLevel="0" collapsed="false">
      <c r="A25" s="10"/>
      <c r="B25" s="11"/>
      <c r="C25" s="10"/>
      <c r="D25" s="10"/>
      <c r="E25" s="14"/>
      <c r="G25" s="6" t="s">
        <v>62</v>
      </c>
      <c r="H25" s="6"/>
      <c r="I25" s="6"/>
      <c r="K25" s="10"/>
      <c r="L25" s="14"/>
      <c r="M25" s="11"/>
      <c r="N25" s="10"/>
    </row>
    <row r="26" customFormat="false" ht="15" hidden="false" customHeight="true" outlineLevel="0" collapsed="false">
      <c r="A26" s="10"/>
      <c r="B26" s="11"/>
      <c r="C26" s="10"/>
      <c r="D26" s="10"/>
      <c r="E26" s="14"/>
      <c r="G26" s="31" t="s">
        <v>63</v>
      </c>
      <c r="H26" s="31"/>
      <c r="I26" s="14"/>
      <c r="K26" s="10"/>
      <c r="L26" s="14"/>
      <c r="M26" s="11"/>
      <c r="N26" s="10"/>
    </row>
    <row r="27" customFormat="false" ht="15" hidden="false" customHeight="true" outlineLevel="0" collapsed="false">
      <c r="A27" s="10"/>
      <c r="B27" s="11"/>
      <c r="C27" s="10"/>
      <c r="D27" s="10"/>
      <c r="E27" s="14"/>
      <c r="G27" s="31" t="s">
        <v>64</v>
      </c>
      <c r="H27" s="31"/>
      <c r="I27" s="14"/>
      <c r="K27" s="10"/>
      <c r="L27" s="14"/>
      <c r="M27" s="11"/>
      <c r="N27" s="10"/>
    </row>
    <row r="28" customFormat="false" ht="15" hidden="false" customHeight="true" outlineLevel="0" collapsed="false">
      <c r="A28" s="10"/>
      <c r="B28" s="11"/>
      <c r="C28" s="10"/>
      <c r="D28" s="10"/>
      <c r="E28" s="14"/>
      <c r="G28" s="32" t="s">
        <v>57</v>
      </c>
      <c r="H28" s="32"/>
      <c r="I28" s="9" t="n">
        <f aca="false">SUM(I26:I27)</f>
        <v>0</v>
      </c>
      <c r="K28" s="10"/>
      <c r="L28" s="14"/>
      <c r="M28" s="11"/>
      <c r="N28" s="10"/>
    </row>
    <row r="29" customFormat="false" ht="15" hidden="false" customHeight="false" outlineLevel="0" collapsed="false">
      <c r="A29" s="10"/>
      <c r="B29" s="11"/>
      <c r="C29" s="10"/>
      <c r="D29" s="10"/>
      <c r="E29" s="14"/>
      <c r="K29" s="10"/>
      <c r="L29" s="14"/>
      <c r="M29" s="11"/>
      <c r="N29" s="10"/>
    </row>
    <row r="30" customFormat="false" ht="15" hidden="false" customHeight="true" outlineLevel="0" collapsed="false">
      <c r="A30" s="10"/>
      <c r="B30" s="11"/>
      <c r="C30" s="10"/>
      <c r="D30" s="10"/>
      <c r="E30" s="14"/>
      <c r="G30" s="6" t="s">
        <v>65</v>
      </c>
      <c r="H30" s="6"/>
      <c r="I30" s="6"/>
      <c r="K30" s="10"/>
      <c r="L30" s="14"/>
      <c r="M30" s="11"/>
      <c r="N30" s="10"/>
    </row>
    <row r="31" customFormat="false" ht="15" hidden="false" customHeight="true" outlineLevel="0" collapsed="false">
      <c r="A31" s="10"/>
      <c r="B31" s="11"/>
      <c r="C31" s="10"/>
      <c r="D31" s="10"/>
      <c r="E31" s="14"/>
      <c r="G31" s="12" t="s">
        <v>36</v>
      </c>
      <c r="H31" s="12"/>
      <c r="I31" s="14" t="n">
        <f aca="false">SUMIF($C$5:$C$64,$G31,$E$5:$E$64)+SUMIF($G$5:$G$12,$G31,$I$5:$I$12)+SUMIF($G$16:$G$23,$G31,$I$16:$I$23)</f>
        <v>0</v>
      </c>
    </row>
    <row r="32" customFormat="false" ht="15" hidden="false" customHeight="true" outlineLevel="0" collapsed="false">
      <c r="A32" s="10"/>
      <c r="B32" s="11"/>
      <c r="C32" s="10"/>
      <c r="D32" s="10"/>
      <c r="E32" s="14"/>
      <c r="G32" s="17" t="s">
        <v>40</v>
      </c>
      <c r="H32" s="17"/>
      <c r="I32" s="14" t="n">
        <f aca="false">SUMIF($C$5:$C$64,$G32,$E$5:$E$64)+SUMIF($G$5:$G$12,$G32,$I$5:$I$12)+SUMIF($G$16:$G$23,$G32,$I$16:$I$23)</f>
        <v>0</v>
      </c>
      <c r="K32" s="6" t="s">
        <v>66</v>
      </c>
      <c r="L32" s="6"/>
      <c r="M32" s="6"/>
      <c r="N32" s="6"/>
    </row>
    <row r="33" customFormat="false" ht="15" hidden="false" customHeight="true" outlineLevel="0" collapsed="false">
      <c r="A33" s="10"/>
      <c r="B33" s="11"/>
      <c r="C33" s="10"/>
      <c r="D33" s="10"/>
      <c r="E33" s="14"/>
      <c r="G33" s="18" t="s">
        <v>42</v>
      </c>
      <c r="H33" s="18"/>
      <c r="I33" s="14" t="n">
        <f aca="false">SUMIF($C$5:$C$64,$G33,$E$5:$E$64)+SUMIF($G$5:$G$12,$G33,$I$5:$I$12)+SUMIF($G$16:$G$23,$G33,$I$16:$I$23)</f>
        <v>0</v>
      </c>
      <c r="K33" s="31" t="s">
        <v>67</v>
      </c>
      <c r="L33" s="31"/>
      <c r="M33" s="31"/>
      <c r="N33" s="33" t="n">
        <f aca="false">COUNT($E$5:$E$64)</f>
        <v>0</v>
      </c>
    </row>
    <row r="34" customFormat="false" ht="15" hidden="false" customHeight="true" outlineLevel="0" collapsed="false">
      <c r="A34" s="10"/>
      <c r="B34" s="11"/>
      <c r="C34" s="10"/>
      <c r="D34" s="10"/>
      <c r="E34" s="14"/>
      <c r="G34" s="23" t="s">
        <v>49</v>
      </c>
      <c r="H34" s="23"/>
      <c r="I34" s="14" t="n">
        <f aca="false">SUMIF($C$5:$C$64,$G34,$E$5:$E$64)+SUMIF($G$5:$G$12,$G34,$I$5:$I$12)+SUMIF($G$16:$G$23,$G34,$I$16:$I$23)</f>
        <v>0</v>
      </c>
      <c r="K34" s="31" t="s">
        <v>68</v>
      </c>
      <c r="L34" s="31"/>
      <c r="M34" s="31"/>
      <c r="N34" s="14" t="n">
        <f aca="false">IF(COUNT($E$5:$E$64)=0,0,MAX($E$5:$E$64))</f>
        <v>0</v>
      </c>
    </row>
    <row r="35" customFormat="false" ht="15" hidden="false" customHeight="true" outlineLevel="0" collapsed="false">
      <c r="A35" s="10"/>
      <c r="B35" s="11"/>
      <c r="C35" s="10"/>
      <c r="D35" s="10"/>
      <c r="E35" s="14"/>
      <c r="G35" s="34" t="s">
        <v>69</v>
      </c>
      <c r="H35" s="34"/>
      <c r="I35" s="14" t="n">
        <f aca="false">SUMIF($C$5:$C$64,$G35,$E$5:$E$64)+SUMIF($G$5:$G$12,$G35,$I$5:$I$12)+SUMIF($G$16:$G$23,$G35,$I$16:$I$23)</f>
        <v>0</v>
      </c>
      <c r="K35" s="31" t="s">
        <v>70</v>
      </c>
      <c r="L35" s="31"/>
      <c r="M35" s="31"/>
      <c r="N35" s="33" t="str">
        <f aca="false">IF($E$3=0,"—",INDEX($A$5:$A$64,MATCH(MAX($E$5:$E$64),$E$5:$E$64,0)))</f>
        <v>—</v>
      </c>
    </row>
    <row r="36" customFormat="false" ht="15" hidden="false" customHeight="true" outlineLevel="0" collapsed="false">
      <c r="A36" s="10"/>
      <c r="B36" s="11"/>
      <c r="C36" s="10"/>
      <c r="D36" s="10"/>
      <c r="E36" s="14"/>
      <c r="G36" s="28" t="s">
        <v>56</v>
      </c>
      <c r="H36" s="28"/>
      <c r="I36" s="14" t="n">
        <f aca="false">SUMIF($C$5:$C$64,$G36,$E$5:$E$64)+SUMIF($G$5:$G$12,$G36,$I$5:$I$12)+SUMIF($G$16:$G$23,$G36,$I$16:$I$23)</f>
        <v>0</v>
      </c>
      <c r="K36" s="31" t="s">
        <v>71</v>
      </c>
      <c r="L36" s="31"/>
      <c r="M36" s="31"/>
      <c r="N36" s="33" t="str">
        <f aca="false">IF($E$3=0,"—",INDEX($K$5:$K$16,MATCH(MAX($M$5:$M$16),$M$5:$M$16,0)))</f>
        <v>—</v>
      </c>
    </row>
    <row r="37" customFormat="false" ht="15" hidden="false" customHeight="true" outlineLevel="0" collapsed="false">
      <c r="A37" s="10"/>
      <c r="B37" s="11"/>
      <c r="C37" s="10"/>
      <c r="D37" s="10"/>
      <c r="E37" s="14"/>
      <c r="G37" s="10" t="s">
        <v>72</v>
      </c>
      <c r="H37" s="10"/>
      <c r="I37" s="14"/>
      <c r="K37" s="31" t="s">
        <v>73</v>
      </c>
      <c r="L37" s="31"/>
      <c r="M37" s="31"/>
      <c r="N37" s="14" t="n">
        <f aca="false">IFERROR(AVERAGE($E$5:$E$64),0)</f>
        <v>0</v>
      </c>
    </row>
    <row r="38" customFormat="false" ht="15" hidden="false" customHeight="true" outlineLevel="0" collapsed="false">
      <c r="A38" s="10"/>
      <c r="B38" s="11"/>
      <c r="C38" s="10"/>
      <c r="D38" s="10"/>
      <c r="E38" s="14"/>
      <c r="G38" s="10" t="s">
        <v>74</v>
      </c>
      <c r="H38" s="10"/>
      <c r="I38" s="14"/>
      <c r="K38" s="31" t="s">
        <v>75</v>
      </c>
      <c r="L38" s="31"/>
      <c r="M38" s="31"/>
      <c r="N38" s="14" t="n">
        <f aca="false">IFERROR($E$3/DAY(EOMONTH(DATE(2026,2,1),0)),0)</f>
        <v>0</v>
      </c>
    </row>
    <row r="39" customFormat="false" ht="15" hidden="false" customHeight="true" outlineLevel="0" collapsed="false">
      <c r="A39" s="10"/>
      <c r="B39" s="11"/>
      <c r="C39" s="10"/>
      <c r="D39" s="10"/>
      <c r="E39" s="14"/>
      <c r="G39" s="29" t="s">
        <v>76</v>
      </c>
      <c r="H39" s="29"/>
      <c r="I39" s="9" t="n">
        <f aca="false">SUM(I31:I38)</f>
        <v>0</v>
      </c>
      <c r="K39" s="31" t="s">
        <v>77</v>
      </c>
      <c r="L39" s="31"/>
      <c r="M39" s="31"/>
      <c r="N39" s="16" t="n">
        <f aca="false">IFERROR($I$39/$I$28,0)</f>
        <v>0</v>
      </c>
    </row>
    <row r="40" customFormat="false" ht="15" hidden="false" customHeight="false" outlineLevel="0" collapsed="false">
      <c r="A40" s="10"/>
      <c r="B40" s="11"/>
      <c r="C40" s="10"/>
      <c r="D40" s="10"/>
      <c r="E40" s="14"/>
    </row>
    <row r="41" customFormat="false" ht="15" hidden="false" customHeight="true" outlineLevel="0" collapsed="false">
      <c r="A41" s="10"/>
      <c r="B41" s="11"/>
      <c r="C41" s="10"/>
      <c r="D41" s="10"/>
      <c r="E41" s="14"/>
      <c r="G41" s="6" t="s">
        <v>78</v>
      </c>
      <c r="H41" s="6"/>
      <c r="I41" s="6"/>
    </row>
    <row r="42" customFormat="false" ht="15" hidden="false" customHeight="true" outlineLevel="0" collapsed="false">
      <c r="A42" s="10"/>
      <c r="B42" s="11"/>
      <c r="C42" s="10"/>
      <c r="D42" s="10"/>
      <c r="E42" s="14"/>
      <c r="G42" s="10" t="s">
        <v>72</v>
      </c>
      <c r="H42" s="10"/>
      <c r="I42" s="14"/>
    </row>
    <row r="43" customFormat="false" ht="15" hidden="false" customHeight="true" outlineLevel="0" collapsed="false">
      <c r="A43" s="10"/>
      <c r="B43" s="11"/>
      <c r="C43" s="10"/>
      <c r="D43" s="10"/>
      <c r="E43" s="14"/>
      <c r="G43" s="10" t="s">
        <v>79</v>
      </c>
      <c r="H43" s="10"/>
      <c r="I43" s="14"/>
    </row>
    <row r="44" customFormat="false" ht="15" hidden="false" customHeight="true" outlineLevel="0" collapsed="false">
      <c r="A44" s="10"/>
      <c r="B44" s="11"/>
      <c r="C44" s="10"/>
      <c r="D44" s="10"/>
      <c r="E44" s="14"/>
      <c r="G44" s="29" t="s">
        <v>57</v>
      </c>
      <c r="H44" s="29"/>
      <c r="I44" s="9" t="n">
        <f aca="false">SUM(I42:I43)</f>
        <v>0</v>
      </c>
    </row>
    <row r="45" customFormat="false" ht="15" hidden="false" customHeight="false" outlineLevel="0" collapsed="false">
      <c r="A45" s="10"/>
      <c r="B45" s="11"/>
      <c r="C45" s="10"/>
      <c r="D45" s="10"/>
      <c r="E45" s="14"/>
    </row>
    <row r="46" customFormat="false" ht="15" hidden="false" customHeight="true" outlineLevel="0" collapsed="false">
      <c r="A46" s="10"/>
      <c r="B46" s="11"/>
      <c r="C46" s="10"/>
      <c r="D46" s="10"/>
      <c r="E46" s="14"/>
      <c r="G46" s="6" t="s">
        <v>80</v>
      </c>
      <c r="H46" s="6"/>
      <c r="I46" s="6"/>
    </row>
    <row r="47" customFormat="false" ht="31.5" hidden="false" customHeight="true" outlineLevel="0" collapsed="false">
      <c r="A47" s="10"/>
      <c r="B47" s="11"/>
      <c r="C47" s="10"/>
      <c r="D47" s="10"/>
      <c r="E47" s="14"/>
      <c r="G47" s="35" t="n">
        <f aca="false">I28-I39</f>
        <v>0</v>
      </c>
      <c r="H47" s="35"/>
      <c r="I47" s="35"/>
    </row>
    <row r="48" customFormat="false" ht="15" hidden="false" customHeight="false" outlineLevel="0" collapsed="false">
      <c r="A48" s="10"/>
      <c r="B48" s="11"/>
      <c r="C48" s="10"/>
      <c r="D48" s="10"/>
      <c r="E48" s="14"/>
    </row>
    <row r="49" customFormat="false" ht="15" hidden="false" customHeight="false" outlineLevel="0" collapsed="false">
      <c r="A49" s="10"/>
      <c r="B49" s="11"/>
      <c r="C49" s="10"/>
      <c r="D49" s="10"/>
      <c r="E49" s="14"/>
    </row>
    <row r="50" customFormat="false" ht="15" hidden="false" customHeight="false" outlineLevel="0" collapsed="false">
      <c r="A50" s="10"/>
      <c r="B50" s="11"/>
      <c r="C50" s="10"/>
      <c r="D50" s="10"/>
      <c r="E50" s="14"/>
    </row>
    <row r="51" customFormat="false" ht="15" hidden="false" customHeight="false" outlineLevel="0" collapsed="false">
      <c r="A51" s="10"/>
      <c r="B51" s="11"/>
      <c r="C51" s="10"/>
      <c r="D51" s="10"/>
      <c r="E51" s="14"/>
    </row>
    <row r="52" customFormat="false" ht="15" hidden="false" customHeight="false" outlineLevel="0" collapsed="false">
      <c r="A52" s="10"/>
      <c r="B52" s="11"/>
      <c r="C52" s="10"/>
      <c r="D52" s="10"/>
      <c r="E52" s="14"/>
    </row>
    <row r="53" customFormat="false" ht="15" hidden="false" customHeight="false" outlineLevel="0" collapsed="false">
      <c r="A53" s="10"/>
      <c r="B53" s="11"/>
      <c r="C53" s="10"/>
      <c r="D53" s="10"/>
      <c r="E53" s="14"/>
    </row>
    <row r="54" customFormat="false" ht="15" hidden="false" customHeight="false" outlineLevel="0" collapsed="false">
      <c r="A54" s="10"/>
      <c r="B54" s="11"/>
      <c r="C54" s="10"/>
      <c r="D54" s="10"/>
      <c r="E54" s="14"/>
    </row>
    <row r="55" customFormat="false" ht="15" hidden="false" customHeight="false" outlineLevel="0" collapsed="false">
      <c r="A55" s="10"/>
      <c r="B55" s="11"/>
      <c r="C55" s="10"/>
      <c r="D55" s="10"/>
      <c r="E55" s="14"/>
    </row>
    <row r="56" customFormat="false" ht="15" hidden="false" customHeight="false" outlineLevel="0" collapsed="false">
      <c r="A56" s="10"/>
      <c r="B56" s="11"/>
      <c r="C56" s="10"/>
      <c r="D56" s="10"/>
      <c r="E56" s="14"/>
    </row>
    <row r="57" customFormat="false" ht="15" hidden="false" customHeight="false" outlineLevel="0" collapsed="false">
      <c r="A57" s="10"/>
      <c r="B57" s="11"/>
      <c r="C57" s="10"/>
      <c r="D57" s="10"/>
      <c r="E57" s="14"/>
    </row>
    <row r="58" customFormat="false" ht="15" hidden="false" customHeight="false" outlineLevel="0" collapsed="false">
      <c r="A58" s="10"/>
      <c r="B58" s="11"/>
      <c r="C58" s="10"/>
      <c r="D58" s="10"/>
      <c r="E58" s="14"/>
    </row>
    <row r="59" customFormat="false" ht="15" hidden="false" customHeight="false" outlineLevel="0" collapsed="false">
      <c r="A59" s="10"/>
      <c r="B59" s="11"/>
      <c r="C59" s="10"/>
      <c r="D59" s="10"/>
      <c r="E59" s="14"/>
    </row>
    <row r="60" customFormat="false" ht="15" hidden="false" customHeight="false" outlineLevel="0" collapsed="false">
      <c r="A60" s="10"/>
      <c r="B60" s="11"/>
      <c r="C60" s="10"/>
      <c r="D60" s="10"/>
      <c r="E60" s="14"/>
    </row>
    <row r="61" customFormat="false" ht="15" hidden="false" customHeight="false" outlineLevel="0" collapsed="false">
      <c r="A61" s="10"/>
      <c r="B61" s="11"/>
      <c r="C61" s="10"/>
      <c r="D61" s="10"/>
      <c r="E61" s="14"/>
    </row>
    <row r="62" customFormat="false" ht="15" hidden="false" customHeight="false" outlineLevel="0" collapsed="false">
      <c r="A62" s="10"/>
      <c r="B62" s="11"/>
      <c r="C62" s="10"/>
      <c r="D62" s="10"/>
      <c r="E62" s="14"/>
    </row>
    <row r="63" customFormat="false" ht="15" hidden="false" customHeight="false" outlineLevel="0" collapsed="false">
      <c r="A63" s="10"/>
      <c r="B63" s="11"/>
      <c r="C63" s="10"/>
      <c r="D63" s="10"/>
      <c r="E63" s="14"/>
    </row>
    <row r="64" customFormat="false" ht="15" hidden="false" customHeight="false" outlineLevel="0" collapsed="false">
      <c r="A64" s="10"/>
      <c r="B64" s="11"/>
      <c r="C64" s="10"/>
      <c r="D64" s="10"/>
      <c r="E64" s="14"/>
    </row>
  </sheetData>
  <mergeCells count="34">
    <mergeCell ref="A1:N1"/>
    <mergeCell ref="A3:C3"/>
    <mergeCell ref="G3:H3"/>
    <mergeCell ref="K3:N3"/>
    <mergeCell ref="G14:H14"/>
    <mergeCell ref="K19:N19"/>
    <mergeCell ref="G25:I25"/>
    <mergeCell ref="G26:H26"/>
    <mergeCell ref="G27:H27"/>
    <mergeCell ref="G28:H28"/>
    <mergeCell ref="G30:I30"/>
    <mergeCell ref="G31:H31"/>
    <mergeCell ref="G32:H32"/>
    <mergeCell ref="K32:N32"/>
    <mergeCell ref="G33:H33"/>
    <mergeCell ref="K33:M33"/>
    <mergeCell ref="G34:H34"/>
    <mergeCell ref="K34:M34"/>
    <mergeCell ref="G35:H35"/>
    <mergeCell ref="K35:M35"/>
    <mergeCell ref="G36:H36"/>
    <mergeCell ref="K36:M36"/>
    <mergeCell ref="G37:H37"/>
    <mergeCell ref="K37:M37"/>
    <mergeCell ref="G38:H38"/>
    <mergeCell ref="K38:M38"/>
    <mergeCell ref="G39:H39"/>
    <mergeCell ref="K39:M39"/>
    <mergeCell ref="G41:I41"/>
    <mergeCell ref="G42:H42"/>
    <mergeCell ref="G43:H43"/>
    <mergeCell ref="G44:H44"/>
    <mergeCell ref="G46:I46"/>
    <mergeCell ref="G47:I47"/>
  </mergeCells>
  <conditionalFormatting sqref="C5:C64">
    <cfRule type="containsText" priority="2" operator="containsText" aboveAverage="0" equalAverage="0" bottom="0" percent="0" rank="0" text="Débito" dxfId="0">
      <formula>NOT(ISERROR(SEARCH("Débito",C5)))</formula>
    </cfRule>
    <cfRule type="containsText" priority="3" operator="containsText" aboveAverage="0" equalAverage="0" bottom="0" percent="0" rank="0" text="Crédito" dxfId="1">
      <formula>NOT(ISERROR(SEARCH("Crédito",C5)))</formula>
    </cfRule>
    <cfRule type="containsText" priority="4" operator="containsText" aboveAverage="0" equalAverage="0" bottom="0" percent="0" rank="0" text="Pix" dxfId="2">
      <formula>NOT(ISERROR(SEARCH("Pix",C5)))</formula>
    </cfRule>
    <cfRule type="containsText" priority="5" operator="containsText" aboveAverage="0" equalAverage="0" bottom="0" percent="0" rank="0" text="Dinheiro" dxfId="3">
      <formula>NOT(ISERROR(SEARCH("Dinheiro",C5)))</formula>
    </cfRule>
    <cfRule type="containsText" priority="6" operator="containsText" aboveAverage="0" equalAverage="0" bottom="0" percent="0" rank="0" text="Voucher" dxfId="4">
      <formula>NOT(ISERROR(SEARCH("Voucher",C5)))</formula>
    </cfRule>
    <cfRule type="containsText" priority="7" operator="containsText" aboveAverage="0" equalAverage="0" bottom="0" percent="0" rank="0" text="Outros" dxfId="5">
      <formula>NOT(ISERROR(SEARCH("Outros",C5)))</formula>
    </cfRule>
  </conditionalFormatting>
  <conditionalFormatting sqref="D5:D64">
    <cfRule type="containsText" priority="8" operator="containsText" aboveAverage="0" equalAverage="0" bottom="0" percent="0" rank="0" text="Mercado" dxfId="6">
      <formula>NOT(ISERROR(SEARCH("Mercado",D5)))</formula>
    </cfRule>
    <cfRule type="containsText" priority="9" operator="containsText" aboveAverage="0" equalAverage="0" bottom="0" percent="0" rank="0" text="Alimentação" dxfId="7">
      <formula>NOT(ISERROR(SEARCH("Alimentação",D5)))</formula>
    </cfRule>
    <cfRule type="containsText" priority="10" operator="containsText" aboveAverage="0" equalAverage="0" bottom="0" percent="0" rank="0" text="Farmácia" dxfId="8">
      <formula>NOT(ISERROR(SEARCH("Farmácia",D5)))</formula>
    </cfRule>
    <cfRule type="containsText" priority="11" operator="containsText" aboveAverage="0" equalAverage="0" bottom="0" percent="0" rank="0" text="Combustível" dxfId="9">
      <formula>NOT(ISERROR(SEARCH("Combustível",D5)))</formula>
    </cfRule>
    <cfRule type="containsText" priority="12" operator="containsText" aboveAverage="0" equalAverage="0" bottom="0" percent="0" rank="0" text="Transporte" dxfId="10">
      <formula>NOT(ISERROR(SEARCH("Transporte",D5)))</formula>
    </cfRule>
    <cfRule type="containsText" priority="13" operator="containsText" aboveAverage="0" equalAverage="0" bottom="0" percent="0" rank="0" text="Vestuário" dxfId="1">
      <formula>NOT(ISERROR(SEARCH("Vestuário",D5)))</formula>
    </cfRule>
    <cfRule type="containsText" priority="14" operator="containsText" aboveAverage="0" equalAverage="0" bottom="0" percent="0" rank="0" text="Eletrônicos" dxfId="11">
      <formula>NOT(ISERROR(SEARCH("Eletrônicos",D5)))</formula>
    </cfRule>
    <cfRule type="containsText" priority="15" operator="containsText" aboveAverage="0" equalAverage="0" bottom="0" percent="0" rank="0" text="Casa" dxfId="12">
      <formula>NOT(ISERROR(SEARCH("Casa",D5)))</formula>
    </cfRule>
    <cfRule type="containsText" priority="16" operator="containsText" aboveAverage="0" equalAverage="0" bottom="0" percent="0" rank="0" text="Saúde" dxfId="13">
      <formula>NOT(ISERROR(SEARCH("Saúde",D5)))</formula>
    </cfRule>
    <cfRule type="containsText" priority="17" operator="containsText" aboveAverage="0" equalAverage="0" bottom="0" percent="0" rank="0" text="Lazer" dxfId="14">
      <formula>NOT(ISERROR(SEARCH("Lazer",D5)))</formula>
    </cfRule>
    <cfRule type="containsText" priority="18" operator="containsText" aboveAverage="0" equalAverage="0" bottom="0" percent="0" rank="0" text="Serviços" dxfId="15">
      <formula>NOT(ISERROR(SEARCH("Serviços",D5)))</formula>
    </cfRule>
    <cfRule type="containsText" priority="19" operator="containsText" aboveAverage="0" equalAverage="0" bottom="0" percent="0" rank="0" text="Outros" dxfId="5">
      <formula>NOT(ISERROR(SEARCH("Outros",D5)))</formula>
    </cfRule>
  </conditionalFormatting>
  <dataValidations count="3">
    <dataValidation allowBlank="true" errorStyle="stop" operator="between" showDropDown="false" showErrorMessage="false" showInputMessage="false" sqref="D5:D24 H5:H12 H16:H23 D25:D64" type="list">
      <formula1>"Alimentação,Mercado,Farmácia,Combustível,Transporte,Vestuário,Eletrônicos,Casa,Saúde,Lazer,Serviços,Outros"</formula1>
      <formula2>0</formula2>
    </dataValidation>
    <dataValidation allowBlank="true" errorStyle="stop" operator="between" showDropDown="false" showErrorMessage="false" showInputMessage="false" sqref="C5:C24 G5:G12 G16:G23 C25:C64" type="list">
      <formula1>"Débito,Crédito,Pix,Dinheiro,Voucher,Outros"</formula1>
      <formula2>0</formula2>
    </dataValidation>
    <dataValidation allowBlank="true" errorStyle="stop" operator="between" showDropDown="false" showErrorMessage="false" showInputMessage="false" sqref="N21:N3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88A89"/>
    <pageSetUpPr fitToPage="false"/>
  </sheetPr>
  <dimension ref="A1:N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2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2"/>
    <col collapsed="false" customWidth="true" hidden="false" outlineLevel="0" max="11" min="11" style="0" width="17"/>
    <col collapsed="false" customWidth="true" hidden="false" outlineLevel="0" max="12" min="12" style="0" width="13"/>
    <col collapsed="false" customWidth="true" hidden="false" outlineLevel="0" max="14" min="13" style="0" width="12"/>
    <col collapsed="false" customWidth="true" hidden="false" outlineLevel="0" max="15" min="15" style="0" width="2"/>
  </cols>
  <sheetData>
    <row r="1" customFormat="false" ht="33.75" hidden="false" customHeight="true" outlineLevel="0" collapsed="false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9.7" hidden="false" customHeight="true" outlineLevel="0" collapsed="false">
      <c r="A3" s="6" t="s">
        <v>23</v>
      </c>
      <c r="B3" s="6"/>
      <c r="C3" s="6"/>
      <c r="D3" s="7" t="s">
        <v>24</v>
      </c>
      <c r="E3" s="8" t="n">
        <f aca="false">SUM(E5:E64)</f>
        <v>0</v>
      </c>
      <c r="G3" s="6" t="s">
        <v>25</v>
      </c>
      <c r="H3" s="6"/>
      <c r="I3" s="9" t="n">
        <f aca="false">SUM(I5:I12)</f>
        <v>0</v>
      </c>
      <c r="K3" s="6" t="s">
        <v>26</v>
      </c>
      <c r="L3" s="6"/>
      <c r="M3" s="6"/>
      <c r="N3" s="6"/>
    </row>
    <row r="4" customFormat="false" ht="15" hidden="false" customHeight="false" outlineLevel="0" collapsed="false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G4" s="6" t="s">
        <v>29</v>
      </c>
      <c r="H4" s="6" t="s">
        <v>30</v>
      </c>
      <c r="I4" s="6" t="s">
        <v>31</v>
      </c>
      <c r="K4" s="6" t="s">
        <v>30</v>
      </c>
      <c r="L4" s="6" t="s">
        <v>32</v>
      </c>
      <c r="M4" s="6" t="s">
        <v>33</v>
      </c>
      <c r="N4" s="6" t="s">
        <v>34</v>
      </c>
    </row>
    <row r="5" customFormat="false" ht="15" hidden="false" customHeight="false" outlineLevel="0" collapsed="false">
      <c r="A5" s="10"/>
      <c r="B5" s="11"/>
      <c r="C5" s="10"/>
      <c r="D5" s="10"/>
      <c r="E5" s="14"/>
      <c r="G5" s="10"/>
      <c r="H5" s="10"/>
      <c r="I5" s="14"/>
      <c r="K5" s="15" t="s">
        <v>38</v>
      </c>
      <c r="L5" s="14"/>
      <c r="M5" s="14" t="n">
        <f aca="false">SUMIF($D$5:$D$64,$K5,$E$5:$E$64)</f>
        <v>0</v>
      </c>
      <c r="N5" s="16" t="n">
        <f aca="false">IFERROR(M5/$E$3,0)</f>
        <v>0</v>
      </c>
    </row>
    <row r="6" customFormat="false" ht="15" hidden="false" customHeight="false" outlineLevel="0" collapsed="false">
      <c r="A6" s="10"/>
      <c r="B6" s="11"/>
      <c r="C6" s="10"/>
      <c r="D6" s="10"/>
      <c r="E6" s="14"/>
      <c r="G6" s="10"/>
      <c r="H6" s="10"/>
      <c r="I6" s="14"/>
      <c r="K6" s="13" t="s">
        <v>37</v>
      </c>
      <c r="L6" s="14"/>
      <c r="M6" s="14" t="n">
        <f aca="false">SUMIF($D$5:$D$64,$K6,$E$5:$E$64)</f>
        <v>0</v>
      </c>
      <c r="N6" s="16" t="n">
        <f aca="false">IFERROR(M6/$E$3,0)</f>
        <v>0</v>
      </c>
    </row>
    <row r="7" customFormat="false" ht="15" hidden="false" customHeight="false" outlineLevel="0" collapsed="false">
      <c r="A7" s="10"/>
      <c r="B7" s="11"/>
      <c r="C7" s="10"/>
      <c r="D7" s="10"/>
      <c r="E7" s="14"/>
      <c r="G7" s="10"/>
      <c r="H7" s="10"/>
      <c r="I7" s="14"/>
      <c r="K7" s="20" t="s">
        <v>44</v>
      </c>
      <c r="L7" s="14"/>
      <c r="M7" s="14" t="n">
        <f aca="false">SUMIF($D$5:$D$64,$K7,$E$5:$E$64)</f>
        <v>0</v>
      </c>
      <c r="N7" s="16" t="n">
        <f aca="false">IFERROR(M7/$E$3,0)</f>
        <v>0</v>
      </c>
    </row>
    <row r="8" customFormat="false" ht="15" hidden="false" customHeight="false" outlineLevel="0" collapsed="false">
      <c r="A8" s="10"/>
      <c r="B8" s="11"/>
      <c r="C8" s="10"/>
      <c r="D8" s="10"/>
      <c r="E8" s="14"/>
      <c r="G8" s="10"/>
      <c r="H8" s="10"/>
      <c r="I8" s="14"/>
      <c r="K8" s="22" t="s">
        <v>47</v>
      </c>
      <c r="L8" s="14"/>
      <c r="M8" s="14" t="n">
        <f aca="false">SUMIF($D$5:$D$64,$K8,$E$5:$E$64)</f>
        <v>0</v>
      </c>
      <c r="N8" s="16" t="n">
        <f aca="false">IFERROR(M8/$E$3,0)</f>
        <v>0</v>
      </c>
    </row>
    <row r="9" customFormat="false" ht="15" hidden="false" customHeight="false" outlineLevel="0" collapsed="false">
      <c r="A9" s="10"/>
      <c r="B9" s="11"/>
      <c r="C9" s="10"/>
      <c r="D9" s="10"/>
      <c r="E9" s="14"/>
      <c r="G9" s="10"/>
      <c r="H9" s="10"/>
      <c r="I9" s="14"/>
      <c r="K9" s="19" t="s">
        <v>43</v>
      </c>
      <c r="L9" s="14"/>
      <c r="M9" s="14" t="n">
        <f aca="false">SUMIF($D$5:$D$64,$K9,$E$5:$E$64)</f>
        <v>0</v>
      </c>
      <c r="N9" s="16" t="n">
        <f aca="false">IFERROR(M9/$E$3,0)</f>
        <v>0</v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G10" s="10"/>
      <c r="H10" s="10"/>
      <c r="I10" s="14"/>
      <c r="K10" s="17" t="s">
        <v>50</v>
      </c>
      <c r="L10" s="14"/>
      <c r="M10" s="14" t="n">
        <f aca="false">SUMIF($D$5:$D$64,$K10,$E$5:$E$64)</f>
        <v>0</v>
      </c>
      <c r="N10" s="16" t="n">
        <f aca="false">IFERROR(M10/$E$3,0)</f>
        <v>0</v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G11" s="10"/>
      <c r="H11" s="10"/>
      <c r="I11" s="14"/>
      <c r="K11" s="24" t="s">
        <v>51</v>
      </c>
      <c r="L11" s="14"/>
      <c r="M11" s="14" t="n">
        <f aca="false">SUMIF($D$5:$D$64,$K11,$E$5:$E$64)</f>
        <v>0</v>
      </c>
      <c r="N11" s="16" t="n">
        <f aca="false">IFERROR(M11/$E$3,0)</f>
        <v>0</v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G12" s="10"/>
      <c r="H12" s="10"/>
      <c r="I12" s="14"/>
      <c r="K12" s="21" t="s">
        <v>46</v>
      </c>
      <c r="L12" s="14"/>
      <c r="M12" s="14" t="n">
        <f aca="false">SUMIF($D$5:$D$64,$K12,$E$5:$E$64)</f>
        <v>0</v>
      </c>
      <c r="N12" s="16" t="n">
        <f aca="false">IFERROR(M12/$E$3,0)</f>
        <v>0</v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K13" s="25" t="s">
        <v>52</v>
      </c>
      <c r="L13" s="14"/>
      <c r="M13" s="14" t="n">
        <f aca="false">SUMIF($D$5:$D$64,$K13,$E$5:$E$64)</f>
        <v>0</v>
      </c>
      <c r="N13" s="16" t="n">
        <f aca="false">IFERROR(M13/$E$3,0)</f>
        <v>0</v>
      </c>
    </row>
    <row r="14" customFormat="false" ht="26.85" hidden="false" customHeight="true" outlineLevel="0" collapsed="false">
      <c r="A14" s="10"/>
      <c r="B14" s="11"/>
      <c r="C14" s="10"/>
      <c r="D14" s="10"/>
      <c r="E14" s="14"/>
      <c r="G14" s="6" t="s">
        <v>53</v>
      </c>
      <c r="H14" s="6"/>
      <c r="I14" s="9" t="n">
        <f aca="false">SUM(I16:I23)</f>
        <v>0</v>
      </c>
      <c r="K14" s="26" t="s">
        <v>54</v>
      </c>
      <c r="L14" s="14"/>
      <c r="M14" s="14" t="n">
        <f aca="false">SUMIF($D$5:$D$64,$K14,$E$5:$E$64)</f>
        <v>0</v>
      </c>
      <c r="N14" s="16" t="n">
        <f aca="false">IFERROR(M14/$E$3,0)</f>
        <v>0</v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G15" s="6" t="s">
        <v>29</v>
      </c>
      <c r="H15" s="6" t="s">
        <v>30</v>
      </c>
      <c r="I15" s="6" t="s">
        <v>31</v>
      </c>
      <c r="K15" s="27" t="s">
        <v>55</v>
      </c>
      <c r="L15" s="14"/>
      <c r="M15" s="14" t="n">
        <f aca="false">SUMIF($D$5:$D$64,$K15,$E$5:$E$64)</f>
        <v>0</v>
      </c>
      <c r="N15" s="16" t="n">
        <f aca="false">IFERROR(M15/$E$3,0)</f>
        <v>0</v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G16" s="10"/>
      <c r="H16" s="10"/>
      <c r="I16" s="14"/>
      <c r="K16" s="28" t="s">
        <v>56</v>
      </c>
      <c r="L16" s="14"/>
      <c r="M16" s="14" t="n">
        <f aca="false">SUMIF($D$5:$D$64,$K16,$E$5:$E$64)</f>
        <v>0</v>
      </c>
      <c r="N16" s="16" t="n">
        <f aca="false">IFERROR(M16/$E$3,0)</f>
        <v>0</v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G17" s="10"/>
      <c r="H17" s="10"/>
      <c r="I17" s="14"/>
      <c r="K17" s="29" t="s">
        <v>57</v>
      </c>
      <c r="L17" s="9" t="n">
        <f aca="false">SUM(L5:L16)</f>
        <v>0</v>
      </c>
      <c r="M17" s="9" t="n">
        <f aca="false">SUM(M5:M16)</f>
        <v>0</v>
      </c>
      <c r="N17" s="30" t="n">
        <f aca="false">IFERROR(M17/$E$3,0)</f>
        <v>0</v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G18" s="10"/>
      <c r="H18" s="10"/>
      <c r="I18" s="14"/>
    </row>
    <row r="19" customFormat="false" ht="15" hidden="false" customHeight="true" outlineLevel="0" collapsed="false">
      <c r="A19" s="10"/>
      <c r="B19" s="11"/>
      <c r="C19" s="10"/>
      <c r="D19" s="10"/>
      <c r="E19" s="14"/>
      <c r="G19" s="10"/>
      <c r="H19" s="10"/>
      <c r="I19" s="14"/>
      <c r="K19" s="6" t="s">
        <v>58</v>
      </c>
      <c r="L19" s="6"/>
      <c r="M19" s="6"/>
      <c r="N19" s="6"/>
    </row>
    <row r="20" customFormat="false" ht="15" hidden="false" customHeight="false" outlineLevel="0" collapsed="false">
      <c r="A20" s="10"/>
      <c r="B20" s="11"/>
      <c r="C20" s="10"/>
      <c r="D20" s="10"/>
      <c r="E20" s="14"/>
      <c r="G20" s="10"/>
      <c r="H20" s="10"/>
      <c r="I20" s="14"/>
      <c r="K20" s="6" t="s">
        <v>59</v>
      </c>
      <c r="L20" s="6" t="s">
        <v>31</v>
      </c>
      <c r="M20" s="6" t="s">
        <v>60</v>
      </c>
      <c r="N20" s="6" t="s">
        <v>61</v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G21" s="10"/>
      <c r="H21" s="10"/>
      <c r="I21" s="14"/>
      <c r="K21" s="10"/>
      <c r="L21" s="14"/>
      <c r="M21" s="11"/>
      <c r="N21" s="10"/>
    </row>
    <row r="22" customFormat="false" ht="15" hidden="false" customHeight="false" outlineLevel="0" collapsed="false">
      <c r="A22" s="10"/>
      <c r="B22" s="11"/>
      <c r="C22" s="10"/>
      <c r="D22" s="10"/>
      <c r="E22" s="14"/>
      <c r="G22" s="10"/>
      <c r="H22" s="10"/>
      <c r="I22" s="14"/>
      <c r="K22" s="10"/>
      <c r="L22" s="14"/>
      <c r="M22" s="11"/>
      <c r="N22" s="10"/>
    </row>
    <row r="23" customFormat="false" ht="15" hidden="false" customHeight="false" outlineLevel="0" collapsed="false">
      <c r="A23" s="10"/>
      <c r="B23" s="11"/>
      <c r="C23" s="10"/>
      <c r="D23" s="10"/>
      <c r="E23" s="14"/>
      <c r="G23" s="10"/>
      <c r="H23" s="10"/>
      <c r="I23" s="14"/>
      <c r="K23" s="10"/>
      <c r="L23" s="14"/>
      <c r="M23" s="11"/>
      <c r="N23" s="10"/>
    </row>
    <row r="24" customFormat="false" ht="15" hidden="false" customHeight="false" outlineLevel="0" collapsed="false">
      <c r="A24" s="10"/>
      <c r="B24" s="11"/>
      <c r="C24" s="10"/>
      <c r="D24" s="10"/>
      <c r="E24" s="14"/>
      <c r="K24" s="10"/>
      <c r="L24" s="14"/>
      <c r="M24" s="11"/>
      <c r="N24" s="10"/>
    </row>
    <row r="25" customFormat="false" ht="15" hidden="false" customHeight="true" outlineLevel="0" collapsed="false">
      <c r="A25" s="10"/>
      <c r="B25" s="11"/>
      <c r="C25" s="10"/>
      <c r="D25" s="10"/>
      <c r="E25" s="14"/>
      <c r="G25" s="6" t="s">
        <v>62</v>
      </c>
      <c r="H25" s="6"/>
      <c r="I25" s="6"/>
      <c r="K25" s="10"/>
      <c r="L25" s="14"/>
      <c r="M25" s="11"/>
      <c r="N25" s="10"/>
    </row>
    <row r="26" customFormat="false" ht="15" hidden="false" customHeight="true" outlineLevel="0" collapsed="false">
      <c r="A26" s="10"/>
      <c r="B26" s="11"/>
      <c r="C26" s="10"/>
      <c r="D26" s="10"/>
      <c r="E26" s="14"/>
      <c r="G26" s="31" t="s">
        <v>63</v>
      </c>
      <c r="H26" s="31"/>
      <c r="I26" s="14"/>
      <c r="K26" s="10"/>
      <c r="L26" s="14"/>
      <c r="M26" s="11"/>
      <c r="N26" s="10"/>
    </row>
    <row r="27" customFormat="false" ht="15" hidden="false" customHeight="true" outlineLevel="0" collapsed="false">
      <c r="A27" s="10"/>
      <c r="B27" s="11"/>
      <c r="C27" s="10"/>
      <c r="D27" s="10"/>
      <c r="E27" s="14"/>
      <c r="G27" s="31" t="s">
        <v>64</v>
      </c>
      <c r="H27" s="31"/>
      <c r="I27" s="14"/>
      <c r="K27" s="10"/>
      <c r="L27" s="14"/>
      <c r="M27" s="11"/>
      <c r="N27" s="10"/>
    </row>
    <row r="28" customFormat="false" ht="15" hidden="false" customHeight="true" outlineLevel="0" collapsed="false">
      <c r="A28" s="10"/>
      <c r="B28" s="11"/>
      <c r="C28" s="10"/>
      <c r="D28" s="10"/>
      <c r="E28" s="14"/>
      <c r="G28" s="32" t="s">
        <v>57</v>
      </c>
      <c r="H28" s="32"/>
      <c r="I28" s="9" t="n">
        <f aca="false">SUM(I26:I27)</f>
        <v>0</v>
      </c>
      <c r="K28" s="10"/>
      <c r="L28" s="14"/>
      <c r="M28" s="11"/>
      <c r="N28" s="10"/>
    </row>
    <row r="29" customFormat="false" ht="15" hidden="false" customHeight="false" outlineLevel="0" collapsed="false">
      <c r="A29" s="10"/>
      <c r="B29" s="11"/>
      <c r="C29" s="10"/>
      <c r="D29" s="10"/>
      <c r="E29" s="14"/>
      <c r="K29" s="10"/>
      <c r="L29" s="14"/>
      <c r="M29" s="11"/>
      <c r="N29" s="10"/>
    </row>
    <row r="30" customFormat="false" ht="15" hidden="false" customHeight="true" outlineLevel="0" collapsed="false">
      <c r="A30" s="10"/>
      <c r="B30" s="11"/>
      <c r="C30" s="10"/>
      <c r="D30" s="10"/>
      <c r="E30" s="14"/>
      <c r="G30" s="6" t="s">
        <v>65</v>
      </c>
      <c r="H30" s="6"/>
      <c r="I30" s="6"/>
      <c r="K30" s="10"/>
      <c r="L30" s="14"/>
      <c r="M30" s="11"/>
      <c r="N30" s="10"/>
    </row>
    <row r="31" customFormat="false" ht="15" hidden="false" customHeight="true" outlineLevel="0" collapsed="false">
      <c r="A31" s="10"/>
      <c r="B31" s="11"/>
      <c r="C31" s="10"/>
      <c r="D31" s="10"/>
      <c r="E31" s="14"/>
      <c r="G31" s="12" t="s">
        <v>36</v>
      </c>
      <c r="H31" s="12"/>
      <c r="I31" s="14" t="n">
        <f aca="false">SUMIF($C$5:$C$64,$G31,$E$5:$E$64)+SUMIF($G$5:$G$12,$G31,$I$5:$I$12)+SUMIF($G$16:$G$23,$G31,$I$16:$I$23)</f>
        <v>0</v>
      </c>
    </row>
    <row r="32" customFormat="false" ht="15" hidden="false" customHeight="true" outlineLevel="0" collapsed="false">
      <c r="A32" s="10"/>
      <c r="B32" s="11"/>
      <c r="C32" s="10"/>
      <c r="D32" s="10"/>
      <c r="E32" s="14"/>
      <c r="G32" s="17" t="s">
        <v>40</v>
      </c>
      <c r="H32" s="17"/>
      <c r="I32" s="14" t="n">
        <f aca="false">SUMIF($C$5:$C$64,$G32,$E$5:$E$64)+SUMIF($G$5:$G$12,$G32,$I$5:$I$12)+SUMIF($G$16:$G$23,$G32,$I$16:$I$23)</f>
        <v>0</v>
      </c>
      <c r="K32" s="6" t="s">
        <v>66</v>
      </c>
      <c r="L32" s="6"/>
      <c r="M32" s="6"/>
      <c r="N32" s="6"/>
    </row>
    <row r="33" customFormat="false" ht="15" hidden="false" customHeight="true" outlineLevel="0" collapsed="false">
      <c r="A33" s="10"/>
      <c r="B33" s="11"/>
      <c r="C33" s="10"/>
      <c r="D33" s="10"/>
      <c r="E33" s="14"/>
      <c r="G33" s="18" t="s">
        <v>42</v>
      </c>
      <c r="H33" s="18"/>
      <c r="I33" s="14" t="n">
        <f aca="false">SUMIF($C$5:$C$64,$G33,$E$5:$E$64)+SUMIF($G$5:$G$12,$G33,$I$5:$I$12)+SUMIF($G$16:$G$23,$G33,$I$16:$I$23)</f>
        <v>0</v>
      </c>
      <c r="K33" s="31" t="s">
        <v>67</v>
      </c>
      <c r="L33" s="31"/>
      <c r="M33" s="31"/>
      <c r="N33" s="33" t="n">
        <f aca="false">COUNT($E$5:$E$64)</f>
        <v>0</v>
      </c>
    </row>
    <row r="34" customFormat="false" ht="15" hidden="false" customHeight="true" outlineLevel="0" collapsed="false">
      <c r="A34" s="10"/>
      <c r="B34" s="11"/>
      <c r="C34" s="10"/>
      <c r="D34" s="10"/>
      <c r="E34" s="14"/>
      <c r="G34" s="23" t="s">
        <v>49</v>
      </c>
      <c r="H34" s="23"/>
      <c r="I34" s="14" t="n">
        <f aca="false">SUMIF($C$5:$C$64,$G34,$E$5:$E$64)+SUMIF($G$5:$G$12,$G34,$I$5:$I$12)+SUMIF($G$16:$G$23,$G34,$I$16:$I$23)</f>
        <v>0</v>
      </c>
      <c r="K34" s="31" t="s">
        <v>68</v>
      </c>
      <c r="L34" s="31"/>
      <c r="M34" s="31"/>
      <c r="N34" s="14" t="n">
        <f aca="false">IF(COUNT($E$5:$E$64)=0,0,MAX($E$5:$E$64))</f>
        <v>0</v>
      </c>
    </row>
    <row r="35" customFormat="false" ht="15" hidden="false" customHeight="true" outlineLevel="0" collapsed="false">
      <c r="A35" s="10"/>
      <c r="B35" s="11"/>
      <c r="C35" s="10"/>
      <c r="D35" s="10"/>
      <c r="E35" s="14"/>
      <c r="G35" s="34" t="s">
        <v>69</v>
      </c>
      <c r="H35" s="34"/>
      <c r="I35" s="14" t="n">
        <f aca="false">SUMIF($C$5:$C$64,$G35,$E$5:$E$64)+SUMIF($G$5:$G$12,$G35,$I$5:$I$12)+SUMIF($G$16:$G$23,$G35,$I$16:$I$23)</f>
        <v>0</v>
      </c>
      <c r="K35" s="31" t="s">
        <v>70</v>
      </c>
      <c r="L35" s="31"/>
      <c r="M35" s="31"/>
      <c r="N35" s="33" t="str">
        <f aca="false">IF($E$3=0,"—",INDEX($A$5:$A$64,MATCH(MAX($E$5:$E$64),$E$5:$E$64,0)))</f>
        <v>—</v>
      </c>
    </row>
    <row r="36" customFormat="false" ht="15" hidden="false" customHeight="true" outlineLevel="0" collapsed="false">
      <c r="A36" s="10"/>
      <c r="B36" s="11"/>
      <c r="C36" s="10"/>
      <c r="D36" s="10"/>
      <c r="E36" s="14"/>
      <c r="G36" s="28" t="s">
        <v>56</v>
      </c>
      <c r="H36" s="28"/>
      <c r="I36" s="14" t="n">
        <f aca="false">SUMIF($C$5:$C$64,$G36,$E$5:$E$64)+SUMIF($G$5:$G$12,$G36,$I$5:$I$12)+SUMIF($G$16:$G$23,$G36,$I$16:$I$23)</f>
        <v>0</v>
      </c>
      <c r="K36" s="31" t="s">
        <v>71</v>
      </c>
      <c r="L36" s="31"/>
      <c r="M36" s="31"/>
      <c r="N36" s="33" t="str">
        <f aca="false">IF($E$3=0,"—",INDEX($K$5:$K$16,MATCH(MAX($M$5:$M$16),$M$5:$M$16,0)))</f>
        <v>—</v>
      </c>
    </row>
    <row r="37" customFormat="false" ht="15" hidden="false" customHeight="true" outlineLevel="0" collapsed="false">
      <c r="A37" s="10"/>
      <c r="B37" s="11"/>
      <c r="C37" s="10"/>
      <c r="D37" s="10"/>
      <c r="E37" s="14"/>
      <c r="G37" s="10" t="s">
        <v>72</v>
      </c>
      <c r="H37" s="10"/>
      <c r="I37" s="14"/>
      <c r="K37" s="31" t="s">
        <v>73</v>
      </c>
      <c r="L37" s="31"/>
      <c r="M37" s="31"/>
      <c r="N37" s="14" t="n">
        <f aca="false">IFERROR(AVERAGE($E$5:$E$64),0)</f>
        <v>0</v>
      </c>
    </row>
    <row r="38" customFormat="false" ht="15" hidden="false" customHeight="true" outlineLevel="0" collapsed="false">
      <c r="A38" s="10"/>
      <c r="B38" s="11"/>
      <c r="C38" s="10"/>
      <c r="D38" s="10"/>
      <c r="E38" s="14"/>
      <c r="G38" s="10" t="s">
        <v>74</v>
      </c>
      <c r="H38" s="10"/>
      <c r="I38" s="14"/>
      <c r="K38" s="31" t="s">
        <v>75</v>
      </c>
      <c r="L38" s="31"/>
      <c r="M38" s="31"/>
      <c r="N38" s="14" t="n">
        <f aca="false">IFERROR($E$3/DAY(EOMONTH(DATE(2026,3,1),0)),0)</f>
        <v>0</v>
      </c>
    </row>
    <row r="39" customFormat="false" ht="15" hidden="false" customHeight="true" outlineLevel="0" collapsed="false">
      <c r="A39" s="10"/>
      <c r="B39" s="11"/>
      <c r="C39" s="10"/>
      <c r="D39" s="10"/>
      <c r="E39" s="14"/>
      <c r="G39" s="29" t="s">
        <v>76</v>
      </c>
      <c r="H39" s="29"/>
      <c r="I39" s="9" t="n">
        <f aca="false">SUM(I31:I38)</f>
        <v>0</v>
      </c>
      <c r="K39" s="31" t="s">
        <v>77</v>
      </c>
      <c r="L39" s="31"/>
      <c r="M39" s="31"/>
      <c r="N39" s="16" t="n">
        <f aca="false">IFERROR($I$39/$I$28,0)</f>
        <v>0</v>
      </c>
    </row>
    <row r="40" customFormat="false" ht="15" hidden="false" customHeight="false" outlineLevel="0" collapsed="false">
      <c r="A40" s="10"/>
      <c r="B40" s="11"/>
      <c r="C40" s="10"/>
      <c r="D40" s="10"/>
      <c r="E40" s="14"/>
    </row>
    <row r="41" customFormat="false" ht="15" hidden="false" customHeight="true" outlineLevel="0" collapsed="false">
      <c r="A41" s="10"/>
      <c r="B41" s="11"/>
      <c r="C41" s="10"/>
      <c r="D41" s="10"/>
      <c r="E41" s="14"/>
      <c r="G41" s="6" t="s">
        <v>78</v>
      </c>
      <c r="H41" s="6"/>
      <c r="I41" s="6"/>
    </row>
    <row r="42" customFormat="false" ht="15" hidden="false" customHeight="true" outlineLevel="0" collapsed="false">
      <c r="A42" s="10"/>
      <c r="B42" s="11"/>
      <c r="C42" s="10"/>
      <c r="D42" s="10"/>
      <c r="E42" s="14"/>
      <c r="G42" s="10" t="s">
        <v>72</v>
      </c>
      <c r="H42" s="10"/>
      <c r="I42" s="14"/>
    </row>
    <row r="43" customFormat="false" ht="15" hidden="false" customHeight="true" outlineLevel="0" collapsed="false">
      <c r="A43" s="10"/>
      <c r="B43" s="11"/>
      <c r="C43" s="10"/>
      <c r="D43" s="10"/>
      <c r="E43" s="14"/>
      <c r="G43" s="10" t="s">
        <v>79</v>
      </c>
      <c r="H43" s="10"/>
      <c r="I43" s="14"/>
    </row>
    <row r="44" customFormat="false" ht="15" hidden="false" customHeight="true" outlineLevel="0" collapsed="false">
      <c r="A44" s="10"/>
      <c r="B44" s="11"/>
      <c r="C44" s="10"/>
      <c r="D44" s="10"/>
      <c r="E44" s="14"/>
      <c r="G44" s="29" t="s">
        <v>57</v>
      </c>
      <c r="H44" s="29"/>
      <c r="I44" s="9" t="n">
        <f aca="false">SUM(I42:I43)</f>
        <v>0</v>
      </c>
    </row>
    <row r="45" customFormat="false" ht="15" hidden="false" customHeight="false" outlineLevel="0" collapsed="false">
      <c r="A45" s="10"/>
      <c r="B45" s="11"/>
      <c r="C45" s="10"/>
      <c r="D45" s="10"/>
      <c r="E45" s="14"/>
    </row>
    <row r="46" customFormat="false" ht="15" hidden="false" customHeight="true" outlineLevel="0" collapsed="false">
      <c r="A46" s="10"/>
      <c r="B46" s="11"/>
      <c r="C46" s="10"/>
      <c r="D46" s="10"/>
      <c r="E46" s="14"/>
      <c r="G46" s="6" t="s">
        <v>80</v>
      </c>
      <c r="H46" s="6"/>
      <c r="I46" s="6"/>
    </row>
    <row r="47" customFormat="false" ht="31.5" hidden="false" customHeight="true" outlineLevel="0" collapsed="false">
      <c r="A47" s="10"/>
      <c r="B47" s="11"/>
      <c r="C47" s="10"/>
      <c r="D47" s="10"/>
      <c r="E47" s="14"/>
      <c r="G47" s="35" t="n">
        <f aca="false">I28-I39</f>
        <v>0</v>
      </c>
      <c r="H47" s="35"/>
      <c r="I47" s="35"/>
    </row>
    <row r="48" customFormat="false" ht="15" hidden="false" customHeight="false" outlineLevel="0" collapsed="false">
      <c r="A48" s="10"/>
      <c r="B48" s="11"/>
      <c r="C48" s="10"/>
      <c r="D48" s="10"/>
      <c r="E48" s="14"/>
    </row>
    <row r="49" customFormat="false" ht="15" hidden="false" customHeight="false" outlineLevel="0" collapsed="false">
      <c r="A49" s="10"/>
      <c r="B49" s="11"/>
      <c r="C49" s="10"/>
      <c r="D49" s="10"/>
      <c r="E49" s="14"/>
    </row>
    <row r="50" customFormat="false" ht="15" hidden="false" customHeight="false" outlineLevel="0" collapsed="false">
      <c r="A50" s="10"/>
      <c r="B50" s="11"/>
      <c r="C50" s="10"/>
      <c r="D50" s="10"/>
      <c r="E50" s="14"/>
    </row>
    <row r="51" customFormat="false" ht="15" hidden="false" customHeight="false" outlineLevel="0" collapsed="false">
      <c r="A51" s="10"/>
      <c r="B51" s="11"/>
      <c r="C51" s="10"/>
      <c r="D51" s="10"/>
      <c r="E51" s="14"/>
    </row>
    <row r="52" customFormat="false" ht="15" hidden="false" customHeight="false" outlineLevel="0" collapsed="false">
      <c r="A52" s="10"/>
      <c r="B52" s="11"/>
      <c r="C52" s="10"/>
      <c r="D52" s="10"/>
      <c r="E52" s="14"/>
    </row>
    <row r="53" customFormat="false" ht="15" hidden="false" customHeight="false" outlineLevel="0" collapsed="false">
      <c r="A53" s="10"/>
      <c r="B53" s="11"/>
      <c r="C53" s="10"/>
      <c r="D53" s="10"/>
      <c r="E53" s="14"/>
    </row>
    <row r="54" customFormat="false" ht="15" hidden="false" customHeight="false" outlineLevel="0" collapsed="false">
      <c r="A54" s="10"/>
      <c r="B54" s="11"/>
      <c r="C54" s="10"/>
      <c r="D54" s="10"/>
      <c r="E54" s="14"/>
    </row>
    <row r="55" customFormat="false" ht="15" hidden="false" customHeight="false" outlineLevel="0" collapsed="false">
      <c r="A55" s="10"/>
      <c r="B55" s="11"/>
      <c r="C55" s="10"/>
      <c r="D55" s="10"/>
      <c r="E55" s="14"/>
    </row>
    <row r="56" customFormat="false" ht="15" hidden="false" customHeight="false" outlineLevel="0" collapsed="false">
      <c r="A56" s="10"/>
      <c r="B56" s="11"/>
      <c r="C56" s="10"/>
      <c r="D56" s="10"/>
      <c r="E56" s="14"/>
    </row>
    <row r="57" customFormat="false" ht="15" hidden="false" customHeight="false" outlineLevel="0" collapsed="false">
      <c r="A57" s="10"/>
      <c r="B57" s="11"/>
      <c r="C57" s="10"/>
      <c r="D57" s="10"/>
      <c r="E57" s="14"/>
    </row>
    <row r="58" customFormat="false" ht="15" hidden="false" customHeight="false" outlineLevel="0" collapsed="false">
      <c r="A58" s="10"/>
      <c r="B58" s="11"/>
      <c r="C58" s="10"/>
      <c r="D58" s="10"/>
      <c r="E58" s="14"/>
    </row>
    <row r="59" customFormat="false" ht="15" hidden="false" customHeight="false" outlineLevel="0" collapsed="false">
      <c r="A59" s="10"/>
      <c r="B59" s="11"/>
      <c r="C59" s="10"/>
      <c r="D59" s="10"/>
      <c r="E59" s="14"/>
    </row>
    <row r="60" customFormat="false" ht="15" hidden="false" customHeight="false" outlineLevel="0" collapsed="false">
      <c r="A60" s="10"/>
      <c r="B60" s="11"/>
      <c r="C60" s="10"/>
      <c r="D60" s="10"/>
      <c r="E60" s="14"/>
    </row>
    <row r="61" customFormat="false" ht="15" hidden="false" customHeight="false" outlineLevel="0" collapsed="false">
      <c r="A61" s="10"/>
      <c r="B61" s="11"/>
      <c r="C61" s="10"/>
      <c r="D61" s="10"/>
      <c r="E61" s="14"/>
    </row>
    <row r="62" customFormat="false" ht="15" hidden="false" customHeight="false" outlineLevel="0" collapsed="false">
      <c r="A62" s="10"/>
      <c r="B62" s="11"/>
      <c r="C62" s="10"/>
      <c r="D62" s="10"/>
      <c r="E62" s="14"/>
    </row>
    <row r="63" customFormat="false" ht="15" hidden="false" customHeight="false" outlineLevel="0" collapsed="false">
      <c r="A63" s="10"/>
      <c r="B63" s="11"/>
      <c r="C63" s="10"/>
      <c r="D63" s="10"/>
      <c r="E63" s="14"/>
    </row>
    <row r="64" customFormat="false" ht="15" hidden="false" customHeight="false" outlineLevel="0" collapsed="false">
      <c r="A64" s="10"/>
      <c r="B64" s="11"/>
      <c r="C64" s="10"/>
      <c r="D64" s="10"/>
      <c r="E64" s="14"/>
    </row>
  </sheetData>
  <mergeCells count="34">
    <mergeCell ref="A1:N1"/>
    <mergeCell ref="A3:C3"/>
    <mergeCell ref="G3:H3"/>
    <mergeCell ref="K3:N3"/>
    <mergeCell ref="G14:H14"/>
    <mergeCell ref="K19:N19"/>
    <mergeCell ref="G25:I25"/>
    <mergeCell ref="G26:H26"/>
    <mergeCell ref="G27:H27"/>
    <mergeCell ref="G28:H28"/>
    <mergeCell ref="G30:I30"/>
    <mergeCell ref="G31:H31"/>
    <mergeCell ref="G32:H32"/>
    <mergeCell ref="K32:N32"/>
    <mergeCell ref="G33:H33"/>
    <mergeCell ref="K33:M33"/>
    <mergeCell ref="G34:H34"/>
    <mergeCell ref="K34:M34"/>
    <mergeCell ref="G35:H35"/>
    <mergeCell ref="K35:M35"/>
    <mergeCell ref="G36:H36"/>
    <mergeCell ref="K36:M36"/>
    <mergeCell ref="G37:H37"/>
    <mergeCell ref="K37:M37"/>
    <mergeCell ref="G38:H38"/>
    <mergeCell ref="K38:M38"/>
    <mergeCell ref="G39:H39"/>
    <mergeCell ref="K39:M39"/>
    <mergeCell ref="G41:I41"/>
    <mergeCell ref="G42:H42"/>
    <mergeCell ref="G43:H43"/>
    <mergeCell ref="G44:H44"/>
    <mergeCell ref="G46:I46"/>
    <mergeCell ref="G47:I47"/>
  </mergeCells>
  <conditionalFormatting sqref="C5:C64">
    <cfRule type="containsText" priority="2" operator="containsText" aboveAverage="0" equalAverage="0" bottom="0" percent="0" rank="0" text="Débito" dxfId="0">
      <formula>NOT(ISERROR(SEARCH("Débito",C5)))</formula>
    </cfRule>
    <cfRule type="containsText" priority="3" operator="containsText" aboveAverage="0" equalAverage="0" bottom="0" percent="0" rank="0" text="Crédito" dxfId="1">
      <formula>NOT(ISERROR(SEARCH("Crédito",C5)))</formula>
    </cfRule>
    <cfRule type="containsText" priority="4" operator="containsText" aboveAverage="0" equalAverage="0" bottom="0" percent="0" rank="0" text="Pix" dxfId="2">
      <formula>NOT(ISERROR(SEARCH("Pix",C5)))</formula>
    </cfRule>
    <cfRule type="containsText" priority="5" operator="containsText" aboveAverage="0" equalAverage="0" bottom="0" percent="0" rank="0" text="Dinheiro" dxfId="3">
      <formula>NOT(ISERROR(SEARCH("Dinheiro",C5)))</formula>
    </cfRule>
    <cfRule type="containsText" priority="6" operator="containsText" aboveAverage="0" equalAverage="0" bottom="0" percent="0" rank="0" text="Voucher" dxfId="4">
      <formula>NOT(ISERROR(SEARCH("Voucher",C5)))</formula>
    </cfRule>
    <cfRule type="containsText" priority="7" operator="containsText" aboveAverage="0" equalAverage="0" bottom="0" percent="0" rank="0" text="Outros" dxfId="5">
      <formula>NOT(ISERROR(SEARCH("Outros",C5)))</formula>
    </cfRule>
  </conditionalFormatting>
  <conditionalFormatting sqref="D5:D64">
    <cfRule type="containsText" priority="8" operator="containsText" aboveAverage="0" equalAverage="0" bottom="0" percent="0" rank="0" text="Mercado" dxfId="6">
      <formula>NOT(ISERROR(SEARCH("Mercado",D5)))</formula>
    </cfRule>
    <cfRule type="containsText" priority="9" operator="containsText" aboveAverage="0" equalAverage="0" bottom="0" percent="0" rank="0" text="Alimentação" dxfId="7">
      <formula>NOT(ISERROR(SEARCH("Alimentação",D5)))</formula>
    </cfRule>
    <cfRule type="containsText" priority="10" operator="containsText" aboveAverage="0" equalAverage="0" bottom="0" percent="0" rank="0" text="Farmácia" dxfId="8">
      <formula>NOT(ISERROR(SEARCH("Farmácia",D5)))</formula>
    </cfRule>
    <cfRule type="containsText" priority="11" operator="containsText" aboveAverage="0" equalAverage="0" bottom="0" percent="0" rank="0" text="Combustível" dxfId="9">
      <formula>NOT(ISERROR(SEARCH("Combustível",D5)))</formula>
    </cfRule>
    <cfRule type="containsText" priority="12" operator="containsText" aboveAverage="0" equalAverage="0" bottom="0" percent="0" rank="0" text="Transporte" dxfId="10">
      <formula>NOT(ISERROR(SEARCH("Transporte",D5)))</formula>
    </cfRule>
    <cfRule type="containsText" priority="13" operator="containsText" aboveAverage="0" equalAverage="0" bottom="0" percent="0" rank="0" text="Vestuário" dxfId="1">
      <formula>NOT(ISERROR(SEARCH("Vestuário",D5)))</formula>
    </cfRule>
    <cfRule type="containsText" priority="14" operator="containsText" aboveAverage="0" equalAverage="0" bottom="0" percent="0" rank="0" text="Eletrônicos" dxfId="11">
      <formula>NOT(ISERROR(SEARCH("Eletrônicos",D5)))</formula>
    </cfRule>
    <cfRule type="containsText" priority="15" operator="containsText" aboveAverage="0" equalAverage="0" bottom="0" percent="0" rank="0" text="Casa" dxfId="12">
      <formula>NOT(ISERROR(SEARCH("Casa",D5)))</formula>
    </cfRule>
    <cfRule type="containsText" priority="16" operator="containsText" aboveAverage="0" equalAverage="0" bottom="0" percent="0" rank="0" text="Saúde" dxfId="13">
      <formula>NOT(ISERROR(SEARCH("Saúde",D5)))</formula>
    </cfRule>
    <cfRule type="containsText" priority="17" operator="containsText" aboveAverage="0" equalAverage="0" bottom="0" percent="0" rank="0" text="Lazer" dxfId="14">
      <formula>NOT(ISERROR(SEARCH("Lazer",D5)))</formula>
    </cfRule>
    <cfRule type="containsText" priority="18" operator="containsText" aboveAverage="0" equalAverage="0" bottom="0" percent="0" rank="0" text="Serviços" dxfId="15">
      <formula>NOT(ISERROR(SEARCH("Serviços",D5)))</formula>
    </cfRule>
    <cfRule type="containsText" priority="19" operator="containsText" aboveAverage="0" equalAverage="0" bottom="0" percent="0" rank="0" text="Outros" dxfId="5">
      <formula>NOT(ISERROR(SEARCH("Outros",D5)))</formula>
    </cfRule>
  </conditionalFormatting>
  <dataValidations count="3">
    <dataValidation allowBlank="true" errorStyle="stop" operator="between" showDropDown="false" showErrorMessage="false" showInputMessage="false" sqref="D5:D24 H5:H12 H16:H23 D25:D64" type="list">
      <formula1>"Alimentação,Mercado,Farmácia,Combustível,Transporte,Vestuário,Eletrônicos,Casa,Saúde,Lazer,Serviços,Outros"</formula1>
      <formula2>0</formula2>
    </dataValidation>
    <dataValidation allowBlank="true" errorStyle="stop" operator="between" showDropDown="false" showErrorMessage="false" showInputMessage="false" sqref="C5:C24 G5:G12 G16:G23 C25:C64" type="list">
      <formula1>"Débito,Crédito,Pix,Dinheiro,Voucher,Outros"</formula1>
      <formula2>0</formula2>
    </dataValidation>
    <dataValidation allowBlank="true" errorStyle="stop" operator="between" showDropDown="false" showErrorMessage="false" showInputMessage="false" sqref="N21:N3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88A89"/>
    <pageSetUpPr fitToPage="false"/>
  </sheetPr>
  <dimension ref="A1:N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2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2"/>
    <col collapsed="false" customWidth="true" hidden="false" outlineLevel="0" max="11" min="11" style="0" width="17"/>
    <col collapsed="false" customWidth="true" hidden="false" outlineLevel="0" max="12" min="12" style="0" width="13"/>
    <col collapsed="false" customWidth="true" hidden="false" outlineLevel="0" max="14" min="13" style="0" width="12"/>
    <col collapsed="false" customWidth="true" hidden="false" outlineLevel="0" max="15" min="15" style="0" width="2"/>
  </cols>
  <sheetData>
    <row r="1" customFormat="false" ht="33.75" hidden="false" customHeight="true" outlineLevel="0" collapsed="false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9.7" hidden="false" customHeight="true" outlineLevel="0" collapsed="false">
      <c r="A3" s="6" t="s">
        <v>23</v>
      </c>
      <c r="B3" s="6"/>
      <c r="C3" s="6"/>
      <c r="D3" s="7" t="s">
        <v>24</v>
      </c>
      <c r="E3" s="8" t="n">
        <f aca="false">SUM(E5:E64)</f>
        <v>0</v>
      </c>
      <c r="G3" s="6" t="s">
        <v>25</v>
      </c>
      <c r="H3" s="6"/>
      <c r="I3" s="9" t="n">
        <f aca="false">SUM(I5:I12)</f>
        <v>0</v>
      </c>
      <c r="K3" s="6" t="s">
        <v>26</v>
      </c>
      <c r="L3" s="6"/>
      <c r="M3" s="6"/>
      <c r="N3" s="6"/>
    </row>
    <row r="4" customFormat="false" ht="15" hidden="false" customHeight="false" outlineLevel="0" collapsed="false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G4" s="6" t="s">
        <v>29</v>
      </c>
      <c r="H4" s="6" t="s">
        <v>30</v>
      </c>
      <c r="I4" s="6" t="s">
        <v>31</v>
      </c>
      <c r="K4" s="6" t="s">
        <v>30</v>
      </c>
      <c r="L4" s="6" t="s">
        <v>32</v>
      </c>
      <c r="M4" s="6" t="s">
        <v>33</v>
      </c>
      <c r="N4" s="6" t="s">
        <v>34</v>
      </c>
    </row>
    <row r="5" customFormat="false" ht="15" hidden="false" customHeight="false" outlineLevel="0" collapsed="false">
      <c r="A5" s="10"/>
      <c r="B5" s="11"/>
      <c r="C5" s="10"/>
      <c r="D5" s="10"/>
      <c r="E5" s="14"/>
      <c r="G5" s="10"/>
      <c r="H5" s="10"/>
      <c r="I5" s="14"/>
      <c r="K5" s="15" t="s">
        <v>38</v>
      </c>
      <c r="L5" s="14"/>
      <c r="M5" s="14" t="n">
        <f aca="false">SUMIF($D$5:$D$64,$K5,$E$5:$E$64)</f>
        <v>0</v>
      </c>
      <c r="N5" s="16" t="n">
        <f aca="false">IFERROR(M5/$E$3,0)</f>
        <v>0</v>
      </c>
    </row>
    <row r="6" customFormat="false" ht="15" hidden="false" customHeight="false" outlineLevel="0" collapsed="false">
      <c r="A6" s="10"/>
      <c r="B6" s="11"/>
      <c r="C6" s="10"/>
      <c r="D6" s="10"/>
      <c r="E6" s="14"/>
      <c r="G6" s="10"/>
      <c r="H6" s="10"/>
      <c r="I6" s="14"/>
      <c r="K6" s="13" t="s">
        <v>37</v>
      </c>
      <c r="L6" s="14"/>
      <c r="M6" s="14" t="n">
        <f aca="false">SUMIF($D$5:$D$64,$K6,$E$5:$E$64)</f>
        <v>0</v>
      </c>
      <c r="N6" s="16" t="n">
        <f aca="false">IFERROR(M6/$E$3,0)</f>
        <v>0</v>
      </c>
    </row>
    <row r="7" customFormat="false" ht="15" hidden="false" customHeight="false" outlineLevel="0" collapsed="false">
      <c r="A7" s="10"/>
      <c r="B7" s="11"/>
      <c r="C7" s="10"/>
      <c r="D7" s="10"/>
      <c r="E7" s="14"/>
      <c r="G7" s="10"/>
      <c r="H7" s="10"/>
      <c r="I7" s="14"/>
      <c r="K7" s="20" t="s">
        <v>44</v>
      </c>
      <c r="L7" s="14"/>
      <c r="M7" s="14" t="n">
        <f aca="false">SUMIF($D$5:$D$64,$K7,$E$5:$E$64)</f>
        <v>0</v>
      </c>
      <c r="N7" s="16" t="n">
        <f aca="false">IFERROR(M7/$E$3,0)</f>
        <v>0</v>
      </c>
    </row>
    <row r="8" customFormat="false" ht="15" hidden="false" customHeight="false" outlineLevel="0" collapsed="false">
      <c r="A8" s="10"/>
      <c r="B8" s="11"/>
      <c r="C8" s="10"/>
      <c r="D8" s="10"/>
      <c r="E8" s="14"/>
      <c r="G8" s="10"/>
      <c r="H8" s="10"/>
      <c r="I8" s="14"/>
      <c r="K8" s="22" t="s">
        <v>47</v>
      </c>
      <c r="L8" s="14"/>
      <c r="M8" s="14" t="n">
        <f aca="false">SUMIF($D$5:$D$64,$K8,$E$5:$E$64)</f>
        <v>0</v>
      </c>
      <c r="N8" s="16" t="n">
        <f aca="false">IFERROR(M8/$E$3,0)</f>
        <v>0</v>
      </c>
    </row>
    <row r="9" customFormat="false" ht="15" hidden="false" customHeight="false" outlineLevel="0" collapsed="false">
      <c r="A9" s="10"/>
      <c r="B9" s="11"/>
      <c r="C9" s="10"/>
      <c r="D9" s="10"/>
      <c r="E9" s="14"/>
      <c r="G9" s="10"/>
      <c r="H9" s="10"/>
      <c r="I9" s="14"/>
      <c r="K9" s="19" t="s">
        <v>43</v>
      </c>
      <c r="L9" s="14"/>
      <c r="M9" s="14" t="n">
        <f aca="false">SUMIF($D$5:$D$64,$K9,$E$5:$E$64)</f>
        <v>0</v>
      </c>
      <c r="N9" s="16" t="n">
        <f aca="false">IFERROR(M9/$E$3,0)</f>
        <v>0</v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G10" s="10"/>
      <c r="H10" s="10"/>
      <c r="I10" s="14"/>
      <c r="K10" s="17" t="s">
        <v>50</v>
      </c>
      <c r="L10" s="14"/>
      <c r="M10" s="14" t="n">
        <f aca="false">SUMIF($D$5:$D$64,$K10,$E$5:$E$64)</f>
        <v>0</v>
      </c>
      <c r="N10" s="16" t="n">
        <f aca="false">IFERROR(M10/$E$3,0)</f>
        <v>0</v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G11" s="10"/>
      <c r="H11" s="10"/>
      <c r="I11" s="14"/>
      <c r="K11" s="24" t="s">
        <v>51</v>
      </c>
      <c r="L11" s="14"/>
      <c r="M11" s="14" t="n">
        <f aca="false">SUMIF($D$5:$D$64,$K11,$E$5:$E$64)</f>
        <v>0</v>
      </c>
      <c r="N11" s="16" t="n">
        <f aca="false">IFERROR(M11/$E$3,0)</f>
        <v>0</v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G12" s="10"/>
      <c r="H12" s="10"/>
      <c r="I12" s="14"/>
      <c r="K12" s="21" t="s">
        <v>46</v>
      </c>
      <c r="L12" s="14"/>
      <c r="M12" s="14" t="n">
        <f aca="false">SUMIF($D$5:$D$64,$K12,$E$5:$E$64)</f>
        <v>0</v>
      </c>
      <c r="N12" s="16" t="n">
        <f aca="false">IFERROR(M12/$E$3,0)</f>
        <v>0</v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K13" s="25" t="s">
        <v>52</v>
      </c>
      <c r="L13" s="14"/>
      <c r="M13" s="14" t="n">
        <f aca="false">SUMIF($D$5:$D$64,$K13,$E$5:$E$64)</f>
        <v>0</v>
      </c>
      <c r="N13" s="16" t="n">
        <f aca="false">IFERROR(M13/$E$3,0)</f>
        <v>0</v>
      </c>
    </row>
    <row r="14" customFormat="false" ht="26.85" hidden="false" customHeight="true" outlineLevel="0" collapsed="false">
      <c r="A14" s="10"/>
      <c r="B14" s="11"/>
      <c r="C14" s="10"/>
      <c r="D14" s="10"/>
      <c r="E14" s="14"/>
      <c r="G14" s="6" t="s">
        <v>53</v>
      </c>
      <c r="H14" s="6"/>
      <c r="I14" s="9" t="n">
        <f aca="false">SUM(I16:I23)</f>
        <v>0</v>
      </c>
      <c r="K14" s="26" t="s">
        <v>54</v>
      </c>
      <c r="L14" s="14"/>
      <c r="M14" s="14" t="n">
        <f aca="false">SUMIF($D$5:$D$64,$K14,$E$5:$E$64)</f>
        <v>0</v>
      </c>
      <c r="N14" s="16" t="n">
        <f aca="false">IFERROR(M14/$E$3,0)</f>
        <v>0</v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G15" s="6" t="s">
        <v>29</v>
      </c>
      <c r="H15" s="6" t="s">
        <v>30</v>
      </c>
      <c r="I15" s="6" t="s">
        <v>31</v>
      </c>
      <c r="K15" s="27" t="s">
        <v>55</v>
      </c>
      <c r="L15" s="14"/>
      <c r="M15" s="14" t="n">
        <f aca="false">SUMIF($D$5:$D$64,$K15,$E$5:$E$64)</f>
        <v>0</v>
      </c>
      <c r="N15" s="16" t="n">
        <f aca="false">IFERROR(M15/$E$3,0)</f>
        <v>0</v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G16" s="10"/>
      <c r="H16" s="10"/>
      <c r="I16" s="14"/>
      <c r="K16" s="28" t="s">
        <v>56</v>
      </c>
      <c r="L16" s="14"/>
      <c r="M16" s="14" t="n">
        <f aca="false">SUMIF($D$5:$D$64,$K16,$E$5:$E$64)</f>
        <v>0</v>
      </c>
      <c r="N16" s="16" t="n">
        <f aca="false">IFERROR(M16/$E$3,0)</f>
        <v>0</v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G17" s="10"/>
      <c r="H17" s="10"/>
      <c r="I17" s="14"/>
      <c r="K17" s="29" t="s">
        <v>57</v>
      </c>
      <c r="L17" s="9" t="n">
        <f aca="false">SUM(L5:L16)</f>
        <v>0</v>
      </c>
      <c r="M17" s="9" t="n">
        <f aca="false">SUM(M5:M16)</f>
        <v>0</v>
      </c>
      <c r="N17" s="30" t="n">
        <f aca="false">IFERROR(M17/$E$3,0)</f>
        <v>0</v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G18" s="10"/>
      <c r="H18" s="10"/>
      <c r="I18" s="14"/>
    </row>
    <row r="19" customFormat="false" ht="15" hidden="false" customHeight="true" outlineLevel="0" collapsed="false">
      <c r="A19" s="10"/>
      <c r="B19" s="11"/>
      <c r="C19" s="10"/>
      <c r="D19" s="10"/>
      <c r="E19" s="14"/>
      <c r="G19" s="10"/>
      <c r="H19" s="10"/>
      <c r="I19" s="14"/>
      <c r="K19" s="6" t="s">
        <v>58</v>
      </c>
      <c r="L19" s="6"/>
      <c r="M19" s="6"/>
      <c r="N19" s="6"/>
    </row>
    <row r="20" customFormat="false" ht="15" hidden="false" customHeight="false" outlineLevel="0" collapsed="false">
      <c r="A20" s="10"/>
      <c r="B20" s="11"/>
      <c r="C20" s="10"/>
      <c r="D20" s="10"/>
      <c r="E20" s="14"/>
      <c r="G20" s="10"/>
      <c r="H20" s="10"/>
      <c r="I20" s="14"/>
      <c r="K20" s="6" t="s">
        <v>59</v>
      </c>
      <c r="L20" s="6" t="s">
        <v>31</v>
      </c>
      <c r="M20" s="6" t="s">
        <v>60</v>
      </c>
      <c r="N20" s="6" t="s">
        <v>61</v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G21" s="10"/>
      <c r="H21" s="10"/>
      <c r="I21" s="14"/>
      <c r="K21" s="10"/>
      <c r="L21" s="14"/>
      <c r="M21" s="11"/>
      <c r="N21" s="10"/>
    </row>
    <row r="22" customFormat="false" ht="15" hidden="false" customHeight="false" outlineLevel="0" collapsed="false">
      <c r="A22" s="10"/>
      <c r="B22" s="11"/>
      <c r="C22" s="10"/>
      <c r="D22" s="10"/>
      <c r="E22" s="14"/>
      <c r="G22" s="10"/>
      <c r="H22" s="10"/>
      <c r="I22" s="14"/>
      <c r="K22" s="10"/>
      <c r="L22" s="14"/>
      <c r="M22" s="11"/>
      <c r="N22" s="10"/>
    </row>
    <row r="23" customFormat="false" ht="15" hidden="false" customHeight="false" outlineLevel="0" collapsed="false">
      <c r="A23" s="10"/>
      <c r="B23" s="11"/>
      <c r="C23" s="10"/>
      <c r="D23" s="10"/>
      <c r="E23" s="14"/>
      <c r="G23" s="10"/>
      <c r="H23" s="10"/>
      <c r="I23" s="14"/>
      <c r="K23" s="10"/>
      <c r="L23" s="14"/>
      <c r="M23" s="11"/>
      <c r="N23" s="10"/>
    </row>
    <row r="24" customFormat="false" ht="15" hidden="false" customHeight="false" outlineLevel="0" collapsed="false">
      <c r="A24" s="10"/>
      <c r="B24" s="11"/>
      <c r="C24" s="10"/>
      <c r="D24" s="10"/>
      <c r="E24" s="14"/>
      <c r="K24" s="10"/>
      <c r="L24" s="14"/>
      <c r="M24" s="11"/>
      <c r="N24" s="10"/>
    </row>
    <row r="25" customFormat="false" ht="15" hidden="false" customHeight="true" outlineLevel="0" collapsed="false">
      <c r="A25" s="10"/>
      <c r="B25" s="11"/>
      <c r="C25" s="10"/>
      <c r="D25" s="10"/>
      <c r="E25" s="14"/>
      <c r="G25" s="6" t="s">
        <v>62</v>
      </c>
      <c r="H25" s="6"/>
      <c r="I25" s="6"/>
      <c r="K25" s="10"/>
      <c r="L25" s="14"/>
      <c r="M25" s="11"/>
      <c r="N25" s="10"/>
    </row>
    <row r="26" customFormat="false" ht="15" hidden="false" customHeight="true" outlineLevel="0" collapsed="false">
      <c r="A26" s="10"/>
      <c r="B26" s="11"/>
      <c r="C26" s="10"/>
      <c r="D26" s="10"/>
      <c r="E26" s="14"/>
      <c r="G26" s="31" t="s">
        <v>63</v>
      </c>
      <c r="H26" s="31"/>
      <c r="I26" s="14"/>
      <c r="K26" s="10"/>
      <c r="L26" s="14"/>
      <c r="M26" s="11"/>
      <c r="N26" s="10"/>
    </row>
    <row r="27" customFormat="false" ht="15" hidden="false" customHeight="true" outlineLevel="0" collapsed="false">
      <c r="A27" s="10"/>
      <c r="B27" s="11"/>
      <c r="C27" s="10"/>
      <c r="D27" s="10"/>
      <c r="E27" s="14"/>
      <c r="G27" s="31" t="s">
        <v>64</v>
      </c>
      <c r="H27" s="31"/>
      <c r="I27" s="14"/>
      <c r="K27" s="10"/>
      <c r="L27" s="14"/>
      <c r="M27" s="11"/>
      <c r="N27" s="10"/>
    </row>
    <row r="28" customFormat="false" ht="15" hidden="false" customHeight="true" outlineLevel="0" collapsed="false">
      <c r="A28" s="10"/>
      <c r="B28" s="11"/>
      <c r="C28" s="10"/>
      <c r="D28" s="10"/>
      <c r="E28" s="14"/>
      <c r="G28" s="32" t="s">
        <v>57</v>
      </c>
      <c r="H28" s="32"/>
      <c r="I28" s="9" t="n">
        <f aca="false">SUM(I26:I27)</f>
        <v>0</v>
      </c>
      <c r="K28" s="10"/>
      <c r="L28" s="14"/>
      <c r="M28" s="11"/>
      <c r="N28" s="10"/>
    </row>
    <row r="29" customFormat="false" ht="15" hidden="false" customHeight="false" outlineLevel="0" collapsed="false">
      <c r="A29" s="10"/>
      <c r="B29" s="11"/>
      <c r="C29" s="10"/>
      <c r="D29" s="10"/>
      <c r="E29" s="14"/>
      <c r="K29" s="10"/>
      <c r="L29" s="14"/>
      <c r="M29" s="11"/>
      <c r="N29" s="10"/>
    </row>
    <row r="30" customFormat="false" ht="15" hidden="false" customHeight="true" outlineLevel="0" collapsed="false">
      <c r="A30" s="10"/>
      <c r="B30" s="11"/>
      <c r="C30" s="10"/>
      <c r="D30" s="10"/>
      <c r="E30" s="14"/>
      <c r="G30" s="6" t="s">
        <v>65</v>
      </c>
      <c r="H30" s="6"/>
      <c r="I30" s="6"/>
      <c r="K30" s="10"/>
      <c r="L30" s="14"/>
      <c r="M30" s="11"/>
      <c r="N30" s="10"/>
    </row>
    <row r="31" customFormat="false" ht="15" hidden="false" customHeight="true" outlineLevel="0" collapsed="false">
      <c r="A31" s="10"/>
      <c r="B31" s="11"/>
      <c r="C31" s="10"/>
      <c r="D31" s="10"/>
      <c r="E31" s="14"/>
      <c r="G31" s="12" t="s">
        <v>36</v>
      </c>
      <c r="H31" s="12"/>
      <c r="I31" s="14" t="n">
        <f aca="false">SUMIF($C$5:$C$64,$G31,$E$5:$E$64)+SUMIF($G$5:$G$12,$G31,$I$5:$I$12)+SUMIF($G$16:$G$23,$G31,$I$16:$I$23)</f>
        <v>0</v>
      </c>
    </row>
    <row r="32" customFormat="false" ht="15" hidden="false" customHeight="true" outlineLevel="0" collapsed="false">
      <c r="A32" s="10"/>
      <c r="B32" s="11"/>
      <c r="C32" s="10"/>
      <c r="D32" s="10"/>
      <c r="E32" s="14"/>
      <c r="G32" s="17" t="s">
        <v>40</v>
      </c>
      <c r="H32" s="17"/>
      <c r="I32" s="14" t="n">
        <f aca="false">SUMIF($C$5:$C$64,$G32,$E$5:$E$64)+SUMIF($G$5:$G$12,$G32,$I$5:$I$12)+SUMIF($G$16:$G$23,$G32,$I$16:$I$23)</f>
        <v>0</v>
      </c>
      <c r="K32" s="6" t="s">
        <v>66</v>
      </c>
      <c r="L32" s="6"/>
      <c r="M32" s="6"/>
      <c r="N32" s="6"/>
    </row>
    <row r="33" customFormat="false" ht="15" hidden="false" customHeight="true" outlineLevel="0" collapsed="false">
      <c r="A33" s="10"/>
      <c r="B33" s="11"/>
      <c r="C33" s="10"/>
      <c r="D33" s="10"/>
      <c r="E33" s="14"/>
      <c r="G33" s="18" t="s">
        <v>42</v>
      </c>
      <c r="H33" s="18"/>
      <c r="I33" s="14" t="n">
        <f aca="false">SUMIF($C$5:$C$64,$G33,$E$5:$E$64)+SUMIF($G$5:$G$12,$G33,$I$5:$I$12)+SUMIF($G$16:$G$23,$G33,$I$16:$I$23)</f>
        <v>0</v>
      </c>
      <c r="K33" s="31" t="s">
        <v>67</v>
      </c>
      <c r="L33" s="31"/>
      <c r="M33" s="31"/>
      <c r="N33" s="33" t="n">
        <f aca="false">COUNT($E$5:$E$64)</f>
        <v>0</v>
      </c>
    </row>
    <row r="34" customFormat="false" ht="15" hidden="false" customHeight="true" outlineLevel="0" collapsed="false">
      <c r="A34" s="10"/>
      <c r="B34" s="11"/>
      <c r="C34" s="10"/>
      <c r="D34" s="10"/>
      <c r="E34" s="14"/>
      <c r="G34" s="23" t="s">
        <v>49</v>
      </c>
      <c r="H34" s="23"/>
      <c r="I34" s="14" t="n">
        <f aca="false">SUMIF($C$5:$C$64,$G34,$E$5:$E$64)+SUMIF($G$5:$G$12,$G34,$I$5:$I$12)+SUMIF($G$16:$G$23,$G34,$I$16:$I$23)</f>
        <v>0</v>
      </c>
      <c r="K34" s="31" t="s">
        <v>68</v>
      </c>
      <c r="L34" s="31"/>
      <c r="M34" s="31"/>
      <c r="N34" s="14" t="n">
        <f aca="false">IF(COUNT($E$5:$E$64)=0,0,MAX($E$5:$E$64))</f>
        <v>0</v>
      </c>
    </row>
    <row r="35" customFormat="false" ht="15" hidden="false" customHeight="true" outlineLevel="0" collapsed="false">
      <c r="A35" s="10"/>
      <c r="B35" s="11"/>
      <c r="C35" s="10"/>
      <c r="D35" s="10"/>
      <c r="E35" s="14"/>
      <c r="G35" s="34" t="s">
        <v>69</v>
      </c>
      <c r="H35" s="34"/>
      <c r="I35" s="14" t="n">
        <f aca="false">SUMIF($C$5:$C$64,$G35,$E$5:$E$64)+SUMIF($G$5:$G$12,$G35,$I$5:$I$12)+SUMIF($G$16:$G$23,$G35,$I$16:$I$23)</f>
        <v>0</v>
      </c>
      <c r="K35" s="31" t="s">
        <v>70</v>
      </c>
      <c r="L35" s="31"/>
      <c r="M35" s="31"/>
      <c r="N35" s="33" t="str">
        <f aca="false">IF($E$3=0,"—",INDEX($A$5:$A$64,MATCH(MAX($E$5:$E$64),$E$5:$E$64,0)))</f>
        <v>—</v>
      </c>
    </row>
    <row r="36" customFormat="false" ht="15" hidden="false" customHeight="true" outlineLevel="0" collapsed="false">
      <c r="A36" s="10"/>
      <c r="B36" s="11"/>
      <c r="C36" s="10"/>
      <c r="D36" s="10"/>
      <c r="E36" s="14"/>
      <c r="G36" s="28" t="s">
        <v>56</v>
      </c>
      <c r="H36" s="28"/>
      <c r="I36" s="14" t="n">
        <f aca="false">SUMIF($C$5:$C$64,$G36,$E$5:$E$64)+SUMIF($G$5:$G$12,$G36,$I$5:$I$12)+SUMIF($G$16:$G$23,$G36,$I$16:$I$23)</f>
        <v>0</v>
      </c>
      <c r="K36" s="31" t="s">
        <v>71</v>
      </c>
      <c r="L36" s="31"/>
      <c r="M36" s="31"/>
      <c r="N36" s="33" t="str">
        <f aca="false">IF($E$3=0,"—",INDEX($K$5:$K$16,MATCH(MAX($M$5:$M$16),$M$5:$M$16,0)))</f>
        <v>—</v>
      </c>
    </row>
    <row r="37" customFormat="false" ht="15" hidden="false" customHeight="true" outlineLevel="0" collapsed="false">
      <c r="A37" s="10"/>
      <c r="B37" s="11"/>
      <c r="C37" s="10"/>
      <c r="D37" s="10"/>
      <c r="E37" s="14"/>
      <c r="G37" s="10" t="s">
        <v>72</v>
      </c>
      <c r="H37" s="10"/>
      <c r="I37" s="14"/>
      <c r="K37" s="31" t="s">
        <v>73</v>
      </c>
      <c r="L37" s="31"/>
      <c r="M37" s="31"/>
      <c r="N37" s="14" t="n">
        <f aca="false">IFERROR(AVERAGE($E$5:$E$64),0)</f>
        <v>0</v>
      </c>
    </row>
    <row r="38" customFormat="false" ht="15" hidden="false" customHeight="true" outlineLevel="0" collapsed="false">
      <c r="A38" s="10"/>
      <c r="B38" s="11"/>
      <c r="C38" s="10"/>
      <c r="D38" s="10"/>
      <c r="E38" s="14"/>
      <c r="G38" s="10" t="s">
        <v>74</v>
      </c>
      <c r="H38" s="10"/>
      <c r="I38" s="14"/>
      <c r="K38" s="31" t="s">
        <v>75</v>
      </c>
      <c r="L38" s="31"/>
      <c r="M38" s="31"/>
      <c r="N38" s="14" t="n">
        <f aca="false">IFERROR($E$3/DAY(EOMONTH(DATE(2026,4,1),0)),0)</f>
        <v>0</v>
      </c>
    </row>
    <row r="39" customFormat="false" ht="15" hidden="false" customHeight="true" outlineLevel="0" collapsed="false">
      <c r="A39" s="10"/>
      <c r="B39" s="11"/>
      <c r="C39" s="10"/>
      <c r="D39" s="10"/>
      <c r="E39" s="14"/>
      <c r="G39" s="29" t="s">
        <v>76</v>
      </c>
      <c r="H39" s="29"/>
      <c r="I39" s="9" t="n">
        <f aca="false">SUM(I31:I38)</f>
        <v>0</v>
      </c>
      <c r="K39" s="31" t="s">
        <v>77</v>
      </c>
      <c r="L39" s="31"/>
      <c r="M39" s="31"/>
      <c r="N39" s="16" t="n">
        <f aca="false">IFERROR($I$39/$I$28,0)</f>
        <v>0</v>
      </c>
    </row>
    <row r="40" customFormat="false" ht="15" hidden="false" customHeight="false" outlineLevel="0" collapsed="false">
      <c r="A40" s="10"/>
      <c r="B40" s="11"/>
      <c r="C40" s="10"/>
      <c r="D40" s="10"/>
      <c r="E40" s="14"/>
    </row>
    <row r="41" customFormat="false" ht="15" hidden="false" customHeight="true" outlineLevel="0" collapsed="false">
      <c r="A41" s="10"/>
      <c r="B41" s="11"/>
      <c r="C41" s="10"/>
      <c r="D41" s="10"/>
      <c r="E41" s="14"/>
      <c r="G41" s="6" t="s">
        <v>78</v>
      </c>
      <c r="H41" s="6"/>
      <c r="I41" s="6"/>
    </row>
    <row r="42" customFormat="false" ht="15" hidden="false" customHeight="true" outlineLevel="0" collapsed="false">
      <c r="A42" s="10"/>
      <c r="B42" s="11"/>
      <c r="C42" s="10"/>
      <c r="D42" s="10"/>
      <c r="E42" s="14"/>
      <c r="G42" s="10" t="s">
        <v>72</v>
      </c>
      <c r="H42" s="10"/>
      <c r="I42" s="14"/>
    </row>
    <row r="43" customFormat="false" ht="15" hidden="false" customHeight="true" outlineLevel="0" collapsed="false">
      <c r="A43" s="10"/>
      <c r="B43" s="11"/>
      <c r="C43" s="10"/>
      <c r="D43" s="10"/>
      <c r="E43" s="14"/>
      <c r="G43" s="10" t="s">
        <v>79</v>
      </c>
      <c r="H43" s="10"/>
      <c r="I43" s="14"/>
    </row>
    <row r="44" customFormat="false" ht="15" hidden="false" customHeight="true" outlineLevel="0" collapsed="false">
      <c r="A44" s="10"/>
      <c r="B44" s="11"/>
      <c r="C44" s="10"/>
      <c r="D44" s="10"/>
      <c r="E44" s="14"/>
      <c r="G44" s="29" t="s">
        <v>57</v>
      </c>
      <c r="H44" s="29"/>
      <c r="I44" s="9" t="n">
        <f aca="false">SUM(I42:I43)</f>
        <v>0</v>
      </c>
    </row>
    <row r="45" customFormat="false" ht="15" hidden="false" customHeight="false" outlineLevel="0" collapsed="false">
      <c r="A45" s="10"/>
      <c r="B45" s="11"/>
      <c r="C45" s="10"/>
      <c r="D45" s="10"/>
      <c r="E45" s="14"/>
    </row>
    <row r="46" customFormat="false" ht="15" hidden="false" customHeight="true" outlineLevel="0" collapsed="false">
      <c r="A46" s="10"/>
      <c r="B46" s="11"/>
      <c r="C46" s="10"/>
      <c r="D46" s="10"/>
      <c r="E46" s="14"/>
      <c r="G46" s="6" t="s">
        <v>80</v>
      </c>
      <c r="H46" s="6"/>
      <c r="I46" s="6"/>
    </row>
    <row r="47" customFormat="false" ht="31.5" hidden="false" customHeight="true" outlineLevel="0" collapsed="false">
      <c r="A47" s="10"/>
      <c r="B47" s="11"/>
      <c r="C47" s="10"/>
      <c r="D47" s="10"/>
      <c r="E47" s="14"/>
      <c r="G47" s="35" t="n">
        <f aca="false">I28-I39</f>
        <v>0</v>
      </c>
      <c r="H47" s="35"/>
      <c r="I47" s="35"/>
    </row>
    <row r="48" customFormat="false" ht="15" hidden="false" customHeight="false" outlineLevel="0" collapsed="false">
      <c r="A48" s="10"/>
      <c r="B48" s="11"/>
      <c r="C48" s="10"/>
      <c r="D48" s="10"/>
      <c r="E48" s="14"/>
    </row>
    <row r="49" customFormat="false" ht="15" hidden="false" customHeight="false" outlineLevel="0" collapsed="false">
      <c r="A49" s="10"/>
      <c r="B49" s="11"/>
      <c r="C49" s="10"/>
      <c r="D49" s="10"/>
      <c r="E49" s="14"/>
    </row>
    <row r="50" customFormat="false" ht="15" hidden="false" customHeight="false" outlineLevel="0" collapsed="false">
      <c r="A50" s="10"/>
      <c r="B50" s="11"/>
      <c r="C50" s="10"/>
      <c r="D50" s="10"/>
      <c r="E50" s="14"/>
    </row>
    <row r="51" customFormat="false" ht="15" hidden="false" customHeight="false" outlineLevel="0" collapsed="false">
      <c r="A51" s="10"/>
      <c r="B51" s="11"/>
      <c r="C51" s="10"/>
      <c r="D51" s="10"/>
      <c r="E51" s="14"/>
    </row>
    <row r="52" customFormat="false" ht="15" hidden="false" customHeight="false" outlineLevel="0" collapsed="false">
      <c r="A52" s="10"/>
      <c r="B52" s="11"/>
      <c r="C52" s="10"/>
      <c r="D52" s="10"/>
      <c r="E52" s="14"/>
    </row>
    <row r="53" customFormat="false" ht="15" hidden="false" customHeight="false" outlineLevel="0" collapsed="false">
      <c r="A53" s="10"/>
      <c r="B53" s="11"/>
      <c r="C53" s="10"/>
      <c r="D53" s="10"/>
      <c r="E53" s="14"/>
    </row>
    <row r="54" customFormat="false" ht="15" hidden="false" customHeight="false" outlineLevel="0" collapsed="false">
      <c r="A54" s="10"/>
      <c r="B54" s="11"/>
      <c r="C54" s="10"/>
      <c r="D54" s="10"/>
      <c r="E54" s="14"/>
    </row>
    <row r="55" customFormat="false" ht="15" hidden="false" customHeight="false" outlineLevel="0" collapsed="false">
      <c r="A55" s="10"/>
      <c r="B55" s="11"/>
      <c r="C55" s="10"/>
      <c r="D55" s="10"/>
      <c r="E55" s="14"/>
    </row>
    <row r="56" customFormat="false" ht="15" hidden="false" customHeight="false" outlineLevel="0" collapsed="false">
      <c r="A56" s="10"/>
      <c r="B56" s="11"/>
      <c r="C56" s="10"/>
      <c r="D56" s="10"/>
      <c r="E56" s="14"/>
    </row>
    <row r="57" customFormat="false" ht="15" hidden="false" customHeight="false" outlineLevel="0" collapsed="false">
      <c r="A57" s="10"/>
      <c r="B57" s="11"/>
      <c r="C57" s="10"/>
      <c r="D57" s="10"/>
      <c r="E57" s="14"/>
    </row>
    <row r="58" customFormat="false" ht="15" hidden="false" customHeight="false" outlineLevel="0" collapsed="false">
      <c r="A58" s="10"/>
      <c r="B58" s="11"/>
      <c r="C58" s="10"/>
      <c r="D58" s="10"/>
      <c r="E58" s="14"/>
    </row>
    <row r="59" customFormat="false" ht="15" hidden="false" customHeight="false" outlineLevel="0" collapsed="false">
      <c r="A59" s="10"/>
      <c r="B59" s="11"/>
      <c r="C59" s="10"/>
      <c r="D59" s="10"/>
      <c r="E59" s="14"/>
    </row>
    <row r="60" customFormat="false" ht="15" hidden="false" customHeight="false" outlineLevel="0" collapsed="false">
      <c r="A60" s="10"/>
      <c r="B60" s="11"/>
      <c r="C60" s="10"/>
      <c r="D60" s="10"/>
      <c r="E60" s="14"/>
    </row>
    <row r="61" customFormat="false" ht="15" hidden="false" customHeight="false" outlineLevel="0" collapsed="false">
      <c r="A61" s="10"/>
      <c r="B61" s="11"/>
      <c r="C61" s="10"/>
      <c r="D61" s="10"/>
      <c r="E61" s="14"/>
    </row>
    <row r="62" customFormat="false" ht="15" hidden="false" customHeight="false" outlineLevel="0" collapsed="false">
      <c r="A62" s="10"/>
      <c r="B62" s="11"/>
      <c r="C62" s="10"/>
      <c r="D62" s="10"/>
      <c r="E62" s="14"/>
    </row>
    <row r="63" customFormat="false" ht="15" hidden="false" customHeight="false" outlineLevel="0" collapsed="false">
      <c r="A63" s="10"/>
      <c r="B63" s="11"/>
      <c r="C63" s="10"/>
      <c r="D63" s="10"/>
      <c r="E63" s="14"/>
    </row>
    <row r="64" customFormat="false" ht="15" hidden="false" customHeight="false" outlineLevel="0" collapsed="false">
      <c r="A64" s="10"/>
      <c r="B64" s="11"/>
      <c r="C64" s="10"/>
      <c r="D64" s="10"/>
      <c r="E64" s="14"/>
    </row>
  </sheetData>
  <mergeCells count="34">
    <mergeCell ref="A1:N1"/>
    <mergeCell ref="A3:C3"/>
    <mergeCell ref="G3:H3"/>
    <mergeCell ref="K3:N3"/>
    <mergeCell ref="G14:H14"/>
    <mergeCell ref="K19:N19"/>
    <mergeCell ref="G25:I25"/>
    <mergeCell ref="G26:H26"/>
    <mergeCell ref="G27:H27"/>
    <mergeCell ref="G28:H28"/>
    <mergeCell ref="G30:I30"/>
    <mergeCell ref="G31:H31"/>
    <mergeCell ref="G32:H32"/>
    <mergeCell ref="K32:N32"/>
    <mergeCell ref="G33:H33"/>
    <mergeCell ref="K33:M33"/>
    <mergeCell ref="G34:H34"/>
    <mergeCell ref="K34:M34"/>
    <mergeCell ref="G35:H35"/>
    <mergeCell ref="K35:M35"/>
    <mergeCell ref="G36:H36"/>
    <mergeCell ref="K36:M36"/>
    <mergeCell ref="G37:H37"/>
    <mergeCell ref="K37:M37"/>
    <mergeCell ref="G38:H38"/>
    <mergeCell ref="K38:M38"/>
    <mergeCell ref="G39:H39"/>
    <mergeCell ref="K39:M39"/>
    <mergeCell ref="G41:I41"/>
    <mergeCell ref="G42:H42"/>
    <mergeCell ref="G43:H43"/>
    <mergeCell ref="G44:H44"/>
    <mergeCell ref="G46:I46"/>
    <mergeCell ref="G47:I47"/>
  </mergeCells>
  <conditionalFormatting sqref="C5:C64">
    <cfRule type="containsText" priority="2" operator="containsText" aboveAverage="0" equalAverage="0" bottom="0" percent="0" rank="0" text="Débito" dxfId="0">
      <formula>NOT(ISERROR(SEARCH("Débito",C5)))</formula>
    </cfRule>
    <cfRule type="containsText" priority="3" operator="containsText" aboveAverage="0" equalAverage="0" bottom="0" percent="0" rank="0" text="Crédito" dxfId="1">
      <formula>NOT(ISERROR(SEARCH("Crédito",C5)))</formula>
    </cfRule>
    <cfRule type="containsText" priority="4" operator="containsText" aboveAverage="0" equalAverage="0" bottom="0" percent="0" rank="0" text="Pix" dxfId="2">
      <formula>NOT(ISERROR(SEARCH("Pix",C5)))</formula>
    </cfRule>
    <cfRule type="containsText" priority="5" operator="containsText" aboveAverage="0" equalAverage="0" bottom="0" percent="0" rank="0" text="Dinheiro" dxfId="3">
      <formula>NOT(ISERROR(SEARCH("Dinheiro",C5)))</formula>
    </cfRule>
    <cfRule type="containsText" priority="6" operator="containsText" aboveAverage="0" equalAverage="0" bottom="0" percent="0" rank="0" text="Voucher" dxfId="4">
      <formula>NOT(ISERROR(SEARCH("Voucher",C5)))</formula>
    </cfRule>
    <cfRule type="containsText" priority="7" operator="containsText" aboveAverage="0" equalAverage="0" bottom="0" percent="0" rank="0" text="Outros" dxfId="5">
      <formula>NOT(ISERROR(SEARCH("Outros",C5)))</formula>
    </cfRule>
  </conditionalFormatting>
  <conditionalFormatting sqref="D5:D64">
    <cfRule type="containsText" priority="8" operator="containsText" aboveAverage="0" equalAverage="0" bottom="0" percent="0" rank="0" text="Mercado" dxfId="6">
      <formula>NOT(ISERROR(SEARCH("Mercado",D5)))</formula>
    </cfRule>
    <cfRule type="containsText" priority="9" operator="containsText" aboveAverage="0" equalAverage="0" bottom="0" percent="0" rank="0" text="Alimentação" dxfId="7">
      <formula>NOT(ISERROR(SEARCH("Alimentação",D5)))</formula>
    </cfRule>
    <cfRule type="containsText" priority="10" operator="containsText" aboveAverage="0" equalAverage="0" bottom="0" percent="0" rank="0" text="Farmácia" dxfId="8">
      <formula>NOT(ISERROR(SEARCH("Farmácia",D5)))</formula>
    </cfRule>
    <cfRule type="containsText" priority="11" operator="containsText" aboveAverage="0" equalAverage="0" bottom="0" percent="0" rank="0" text="Combustível" dxfId="9">
      <formula>NOT(ISERROR(SEARCH("Combustível",D5)))</formula>
    </cfRule>
    <cfRule type="containsText" priority="12" operator="containsText" aboveAverage="0" equalAverage="0" bottom="0" percent="0" rank="0" text="Transporte" dxfId="10">
      <formula>NOT(ISERROR(SEARCH("Transporte",D5)))</formula>
    </cfRule>
    <cfRule type="containsText" priority="13" operator="containsText" aboveAverage="0" equalAverage="0" bottom="0" percent="0" rank="0" text="Vestuário" dxfId="1">
      <formula>NOT(ISERROR(SEARCH("Vestuário",D5)))</formula>
    </cfRule>
    <cfRule type="containsText" priority="14" operator="containsText" aboveAverage="0" equalAverage="0" bottom="0" percent="0" rank="0" text="Eletrônicos" dxfId="11">
      <formula>NOT(ISERROR(SEARCH("Eletrônicos",D5)))</formula>
    </cfRule>
    <cfRule type="containsText" priority="15" operator="containsText" aboveAverage="0" equalAverage="0" bottom="0" percent="0" rank="0" text="Casa" dxfId="12">
      <formula>NOT(ISERROR(SEARCH("Casa",D5)))</formula>
    </cfRule>
    <cfRule type="containsText" priority="16" operator="containsText" aboveAverage="0" equalAverage="0" bottom="0" percent="0" rank="0" text="Saúde" dxfId="13">
      <formula>NOT(ISERROR(SEARCH("Saúde",D5)))</formula>
    </cfRule>
    <cfRule type="containsText" priority="17" operator="containsText" aboveAverage="0" equalAverage="0" bottom="0" percent="0" rank="0" text="Lazer" dxfId="14">
      <formula>NOT(ISERROR(SEARCH("Lazer",D5)))</formula>
    </cfRule>
    <cfRule type="containsText" priority="18" operator="containsText" aboveAverage="0" equalAverage="0" bottom="0" percent="0" rank="0" text="Serviços" dxfId="15">
      <formula>NOT(ISERROR(SEARCH("Serviços",D5)))</formula>
    </cfRule>
    <cfRule type="containsText" priority="19" operator="containsText" aboveAverage="0" equalAverage="0" bottom="0" percent="0" rank="0" text="Outros" dxfId="5">
      <formula>NOT(ISERROR(SEARCH("Outros",D5)))</formula>
    </cfRule>
  </conditionalFormatting>
  <dataValidations count="3">
    <dataValidation allowBlank="true" errorStyle="stop" operator="between" showDropDown="false" showErrorMessage="false" showInputMessage="false" sqref="D5:D24 H5:H12 H16:H23 D25:D64" type="list">
      <formula1>"Alimentação,Mercado,Farmácia,Combustível,Transporte,Vestuário,Eletrônicos,Casa,Saúde,Lazer,Serviços,Outros"</formula1>
      <formula2>0</formula2>
    </dataValidation>
    <dataValidation allowBlank="true" errorStyle="stop" operator="between" showDropDown="false" showErrorMessage="false" showInputMessage="false" sqref="C5:C24 G5:G12 G16:G23 C25:C64" type="list">
      <formula1>"Débito,Crédito,Pix,Dinheiro,Voucher,Outros"</formula1>
      <formula2>0</formula2>
    </dataValidation>
    <dataValidation allowBlank="true" errorStyle="stop" operator="between" showDropDown="false" showErrorMessage="false" showInputMessage="false" sqref="N21:N3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88A89"/>
    <pageSetUpPr fitToPage="false"/>
  </sheetPr>
  <dimension ref="A1:N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2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2"/>
    <col collapsed="false" customWidth="true" hidden="false" outlineLevel="0" max="11" min="11" style="0" width="17"/>
    <col collapsed="false" customWidth="true" hidden="false" outlineLevel="0" max="12" min="12" style="0" width="13"/>
    <col collapsed="false" customWidth="true" hidden="false" outlineLevel="0" max="14" min="13" style="0" width="12"/>
    <col collapsed="false" customWidth="true" hidden="false" outlineLevel="0" max="15" min="15" style="0" width="2"/>
  </cols>
  <sheetData>
    <row r="1" customFormat="false" ht="33.75" hidden="false" customHeight="true" outlineLevel="0" collapsed="false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9.7" hidden="false" customHeight="true" outlineLevel="0" collapsed="false">
      <c r="A3" s="6" t="s">
        <v>23</v>
      </c>
      <c r="B3" s="6"/>
      <c r="C3" s="6"/>
      <c r="D3" s="7" t="s">
        <v>24</v>
      </c>
      <c r="E3" s="8" t="n">
        <f aca="false">SUM(E5:E64)</f>
        <v>0</v>
      </c>
      <c r="G3" s="6" t="s">
        <v>25</v>
      </c>
      <c r="H3" s="6"/>
      <c r="I3" s="9" t="n">
        <f aca="false">SUM(I5:I12)</f>
        <v>0</v>
      </c>
      <c r="K3" s="6" t="s">
        <v>26</v>
      </c>
      <c r="L3" s="6"/>
      <c r="M3" s="6"/>
      <c r="N3" s="6"/>
    </row>
    <row r="4" customFormat="false" ht="15" hidden="false" customHeight="false" outlineLevel="0" collapsed="false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G4" s="6" t="s">
        <v>29</v>
      </c>
      <c r="H4" s="6" t="s">
        <v>30</v>
      </c>
      <c r="I4" s="6" t="s">
        <v>31</v>
      </c>
      <c r="K4" s="6" t="s">
        <v>30</v>
      </c>
      <c r="L4" s="6" t="s">
        <v>32</v>
      </c>
      <c r="M4" s="6" t="s">
        <v>33</v>
      </c>
      <c r="N4" s="6" t="s">
        <v>34</v>
      </c>
    </row>
    <row r="5" customFormat="false" ht="15" hidden="false" customHeight="false" outlineLevel="0" collapsed="false">
      <c r="A5" s="10"/>
      <c r="B5" s="11"/>
      <c r="C5" s="10"/>
      <c r="D5" s="10"/>
      <c r="E5" s="14"/>
      <c r="G5" s="10"/>
      <c r="H5" s="10"/>
      <c r="I5" s="14"/>
      <c r="K5" s="15" t="s">
        <v>38</v>
      </c>
      <c r="L5" s="14"/>
      <c r="M5" s="14" t="n">
        <f aca="false">SUMIF($D$5:$D$64,$K5,$E$5:$E$64)</f>
        <v>0</v>
      </c>
      <c r="N5" s="16" t="n">
        <f aca="false">IFERROR(M5/$E$3,0)</f>
        <v>0</v>
      </c>
    </row>
    <row r="6" customFormat="false" ht="15" hidden="false" customHeight="false" outlineLevel="0" collapsed="false">
      <c r="A6" s="10"/>
      <c r="B6" s="11"/>
      <c r="C6" s="10"/>
      <c r="D6" s="10"/>
      <c r="E6" s="14"/>
      <c r="G6" s="10"/>
      <c r="H6" s="10"/>
      <c r="I6" s="14"/>
      <c r="K6" s="13" t="s">
        <v>37</v>
      </c>
      <c r="L6" s="14"/>
      <c r="M6" s="14" t="n">
        <f aca="false">SUMIF($D$5:$D$64,$K6,$E$5:$E$64)</f>
        <v>0</v>
      </c>
      <c r="N6" s="16" t="n">
        <f aca="false">IFERROR(M6/$E$3,0)</f>
        <v>0</v>
      </c>
    </row>
    <row r="7" customFormat="false" ht="15" hidden="false" customHeight="false" outlineLevel="0" collapsed="false">
      <c r="A7" s="10"/>
      <c r="B7" s="11"/>
      <c r="C7" s="10"/>
      <c r="D7" s="10"/>
      <c r="E7" s="14"/>
      <c r="G7" s="10"/>
      <c r="H7" s="10"/>
      <c r="I7" s="14"/>
      <c r="K7" s="20" t="s">
        <v>44</v>
      </c>
      <c r="L7" s="14"/>
      <c r="M7" s="14" t="n">
        <f aca="false">SUMIF($D$5:$D$64,$K7,$E$5:$E$64)</f>
        <v>0</v>
      </c>
      <c r="N7" s="16" t="n">
        <f aca="false">IFERROR(M7/$E$3,0)</f>
        <v>0</v>
      </c>
    </row>
    <row r="8" customFormat="false" ht="15" hidden="false" customHeight="false" outlineLevel="0" collapsed="false">
      <c r="A8" s="10"/>
      <c r="B8" s="11"/>
      <c r="C8" s="10"/>
      <c r="D8" s="10"/>
      <c r="E8" s="14"/>
      <c r="G8" s="10"/>
      <c r="H8" s="10"/>
      <c r="I8" s="14"/>
      <c r="K8" s="22" t="s">
        <v>47</v>
      </c>
      <c r="L8" s="14"/>
      <c r="M8" s="14" t="n">
        <f aca="false">SUMIF($D$5:$D$64,$K8,$E$5:$E$64)</f>
        <v>0</v>
      </c>
      <c r="N8" s="16" t="n">
        <f aca="false">IFERROR(M8/$E$3,0)</f>
        <v>0</v>
      </c>
    </row>
    <row r="9" customFormat="false" ht="15" hidden="false" customHeight="false" outlineLevel="0" collapsed="false">
      <c r="A9" s="10"/>
      <c r="B9" s="11"/>
      <c r="C9" s="10"/>
      <c r="D9" s="10"/>
      <c r="E9" s="14"/>
      <c r="G9" s="10"/>
      <c r="H9" s="10"/>
      <c r="I9" s="14"/>
      <c r="K9" s="19" t="s">
        <v>43</v>
      </c>
      <c r="L9" s="14"/>
      <c r="M9" s="14" t="n">
        <f aca="false">SUMIF($D$5:$D$64,$K9,$E$5:$E$64)</f>
        <v>0</v>
      </c>
      <c r="N9" s="16" t="n">
        <f aca="false">IFERROR(M9/$E$3,0)</f>
        <v>0</v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G10" s="10"/>
      <c r="H10" s="10"/>
      <c r="I10" s="14"/>
      <c r="K10" s="17" t="s">
        <v>50</v>
      </c>
      <c r="L10" s="14"/>
      <c r="M10" s="14" t="n">
        <f aca="false">SUMIF($D$5:$D$64,$K10,$E$5:$E$64)</f>
        <v>0</v>
      </c>
      <c r="N10" s="16" t="n">
        <f aca="false">IFERROR(M10/$E$3,0)</f>
        <v>0</v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G11" s="10"/>
      <c r="H11" s="10"/>
      <c r="I11" s="14"/>
      <c r="K11" s="24" t="s">
        <v>51</v>
      </c>
      <c r="L11" s="14"/>
      <c r="M11" s="14" t="n">
        <f aca="false">SUMIF($D$5:$D$64,$K11,$E$5:$E$64)</f>
        <v>0</v>
      </c>
      <c r="N11" s="16" t="n">
        <f aca="false">IFERROR(M11/$E$3,0)</f>
        <v>0</v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G12" s="10"/>
      <c r="H12" s="10"/>
      <c r="I12" s="14"/>
      <c r="K12" s="21" t="s">
        <v>46</v>
      </c>
      <c r="L12" s="14"/>
      <c r="M12" s="14" t="n">
        <f aca="false">SUMIF($D$5:$D$64,$K12,$E$5:$E$64)</f>
        <v>0</v>
      </c>
      <c r="N12" s="16" t="n">
        <f aca="false">IFERROR(M12/$E$3,0)</f>
        <v>0</v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K13" s="25" t="s">
        <v>52</v>
      </c>
      <c r="L13" s="14"/>
      <c r="M13" s="14" t="n">
        <f aca="false">SUMIF($D$5:$D$64,$K13,$E$5:$E$64)</f>
        <v>0</v>
      </c>
      <c r="N13" s="16" t="n">
        <f aca="false">IFERROR(M13/$E$3,0)</f>
        <v>0</v>
      </c>
    </row>
    <row r="14" customFormat="false" ht="26.85" hidden="false" customHeight="true" outlineLevel="0" collapsed="false">
      <c r="A14" s="10"/>
      <c r="B14" s="11"/>
      <c r="C14" s="10"/>
      <c r="D14" s="10"/>
      <c r="E14" s="14"/>
      <c r="G14" s="6" t="s">
        <v>53</v>
      </c>
      <c r="H14" s="6"/>
      <c r="I14" s="9" t="n">
        <f aca="false">SUM(I16:I23)</f>
        <v>0</v>
      </c>
      <c r="K14" s="26" t="s">
        <v>54</v>
      </c>
      <c r="L14" s="14"/>
      <c r="M14" s="14" t="n">
        <f aca="false">SUMIF($D$5:$D$64,$K14,$E$5:$E$64)</f>
        <v>0</v>
      </c>
      <c r="N14" s="16" t="n">
        <f aca="false">IFERROR(M14/$E$3,0)</f>
        <v>0</v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G15" s="6" t="s">
        <v>29</v>
      </c>
      <c r="H15" s="6" t="s">
        <v>30</v>
      </c>
      <c r="I15" s="6" t="s">
        <v>31</v>
      </c>
      <c r="K15" s="27" t="s">
        <v>55</v>
      </c>
      <c r="L15" s="14"/>
      <c r="M15" s="14" t="n">
        <f aca="false">SUMIF($D$5:$D$64,$K15,$E$5:$E$64)</f>
        <v>0</v>
      </c>
      <c r="N15" s="16" t="n">
        <f aca="false">IFERROR(M15/$E$3,0)</f>
        <v>0</v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G16" s="10"/>
      <c r="H16" s="10"/>
      <c r="I16" s="14"/>
      <c r="K16" s="28" t="s">
        <v>56</v>
      </c>
      <c r="L16" s="14"/>
      <c r="M16" s="14" t="n">
        <f aca="false">SUMIF($D$5:$D$64,$K16,$E$5:$E$64)</f>
        <v>0</v>
      </c>
      <c r="N16" s="16" t="n">
        <f aca="false">IFERROR(M16/$E$3,0)</f>
        <v>0</v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G17" s="10"/>
      <c r="H17" s="10"/>
      <c r="I17" s="14"/>
      <c r="K17" s="29" t="s">
        <v>57</v>
      </c>
      <c r="L17" s="9" t="n">
        <f aca="false">SUM(L5:L16)</f>
        <v>0</v>
      </c>
      <c r="M17" s="9" t="n">
        <f aca="false">SUM(M5:M16)</f>
        <v>0</v>
      </c>
      <c r="N17" s="30" t="n">
        <f aca="false">IFERROR(M17/$E$3,0)</f>
        <v>0</v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G18" s="10"/>
      <c r="H18" s="10"/>
      <c r="I18" s="14"/>
    </row>
    <row r="19" customFormat="false" ht="15" hidden="false" customHeight="true" outlineLevel="0" collapsed="false">
      <c r="A19" s="10"/>
      <c r="B19" s="11"/>
      <c r="C19" s="10"/>
      <c r="D19" s="10"/>
      <c r="E19" s="14"/>
      <c r="G19" s="10"/>
      <c r="H19" s="10"/>
      <c r="I19" s="14"/>
      <c r="K19" s="6" t="s">
        <v>58</v>
      </c>
      <c r="L19" s="6"/>
      <c r="M19" s="6"/>
      <c r="N19" s="6"/>
    </row>
    <row r="20" customFormat="false" ht="15" hidden="false" customHeight="false" outlineLevel="0" collapsed="false">
      <c r="A20" s="10"/>
      <c r="B20" s="11"/>
      <c r="C20" s="10"/>
      <c r="D20" s="10"/>
      <c r="E20" s="14"/>
      <c r="G20" s="10"/>
      <c r="H20" s="10"/>
      <c r="I20" s="14"/>
      <c r="K20" s="6" t="s">
        <v>59</v>
      </c>
      <c r="L20" s="6" t="s">
        <v>31</v>
      </c>
      <c r="M20" s="6" t="s">
        <v>60</v>
      </c>
      <c r="N20" s="6" t="s">
        <v>61</v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G21" s="10"/>
      <c r="H21" s="10"/>
      <c r="I21" s="14"/>
      <c r="K21" s="10"/>
      <c r="L21" s="14"/>
      <c r="M21" s="11"/>
      <c r="N21" s="10"/>
    </row>
    <row r="22" customFormat="false" ht="15" hidden="false" customHeight="false" outlineLevel="0" collapsed="false">
      <c r="A22" s="10"/>
      <c r="B22" s="11"/>
      <c r="C22" s="10"/>
      <c r="D22" s="10"/>
      <c r="E22" s="14"/>
      <c r="G22" s="10"/>
      <c r="H22" s="10"/>
      <c r="I22" s="14"/>
      <c r="K22" s="10"/>
      <c r="L22" s="14"/>
      <c r="M22" s="11"/>
      <c r="N22" s="10"/>
    </row>
    <row r="23" customFormat="false" ht="15" hidden="false" customHeight="false" outlineLevel="0" collapsed="false">
      <c r="A23" s="10"/>
      <c r="B23" s="11"/>
      <c r="C23" s="10"/>
      <c r="D23" s="10"/>
      <c r="E23" s="14"/>
      <c r="G23" s="10"/>
      <c r="H23" s="10"/>
      <c r="I23" s="14"/>
      <c r="K23" s="10"/>
      <c r="L23" s="14"/>
      <c r="M23" s="11"/>
      <c r="N23" s="10"/>
    </row>
    <row r="24" customFormat="false" ht="15" hidden="false" customHeight="false" outlineLevel="0" collapsed="false">
      <c r="A24" s="10"/>
      <c r="B24" s="11"/>
      <c r="C24" s="10"/>
      <c r="D24" s="10"/>
      <c r="E24" s="14"/>
      <c r="K24" s="10"/>
      <c r="L24" s="14"/>
      <c r="M24" s="11"/>
      <c r="N24" s="10"/>
    </row>
    <row r="25" customFormat="false" ht="15" hidden="false" customHeight="true" outlineLevel="0" collapsed="false">
      <c r="A25" s="10"/>
      <c r="B25" s="11"/>
      <c r="C25" s="10"/>
      <c r="D25" s="10"/>
      <c r="E25" s="14"/>
      <c r="G25" s="6" t="s">
        <v>62</v>
      </c>
      <c r="H25" s="6"/>
      <c r="I25" s="6"/>
      <c r="K25" s="10"/>
      <c r="L25" s="14"/>
      <c r="M25" s="11"/>
      <c r="N25" s="10"/>
    </row>
    <row r="26" customFormat="false" ht="15" hidden="false" customHeight="true" outlineLevel="0" collapsed="false">
      <c r="A26" s="10"/>
      <c r="B26" s="11"/>
      <c r="C26" s="10"/>
      <c r="D26" s="10"/>
      <c r="E26" s="14"/>
      <c r="G26" s="31" t="s">
        <v>63</v>
      </c>
      <c r="H26" s="31"/>
      <c r="I26" s="14"/>
      <c r="K26" s="10"/>
      <c r="L26" s="14"/>
      <c r="M26" s="11"/>
      <c r="N26" s="10"/>
    </row>
    <row r="27" customFormat="false" ht="15" hidden="false" customHeight="true" outlineLevel="0" collapsed="false">
      <c r="A27" s="10"/>
      <c r="B27" s="11"/>
      <c r="C27" s="10"/>
      <c r="D27" s="10"/>
      <c r="E27" s="14"/>
      <c r="G27" s="31" t="s">
        <v>64</v>
      </c>
      <c r="H27" s="31"/>
      <c r="I27" s="14"/>
      <c r="K27" s="10"/>
      <c r="L27" s="14"/>
      <c r="M27" s="11"/>
      <c r="N27" s="10"/>
    </row>
    <row r="28" customFormat="false" ht="15" hidden="false" customHeight="true" outlineLevel="0" collapsed="false">
      <c r="A28" s="10"/>
      <c r="B28" s="11"/>
      <c r="C28" s="10"/>
      <c r="D28" s="10"/>
      <c r="E28" s="14"/>
      <c r="G28" s="32" t="s">
        <v>57</v>
      </c>
      <c r="H28" s="32"/>
      <c r="I28" s="9" t="n">
        <f aca="false">SUM(I26:I27)</f>
        <v>0</v>
      </c>
      <c r="K28" s="10"/>
      <c r="L28" s="14"/>
      <c r="M28" s="11"/>
      <c r="N28" s="10"/>
    </row>
    <row r="29" customFormat="false" ht="15" hidden="false" customHeight="false" outlineLevel="0" collapsed="false">
      <c r="A29" s="10"/>
      <c r="B29" s="11"/>
      <c r="C29" s="10"/>
      <c r="D29" s="10"/>
      <c r="E29" s="14"/>
      <c r="K29" s="10"/>
      <c r="L29" s="14"/>
      <c r="M29" s="11"/>
      <c r="N29" s="10"/>
    </row>
    <row r="30" customFormat="false" ht="15" hidden="false" customHeight="true" outlineLevel="0" collapsed="false">
      <c r="A30" s="10"/>
      <c r="B30" s="11"/>
      <c r="C30" s="10"/>
      <c r="D30" s="10"/>
      <c r="E30" s="14"/>
      <c r="G30" s="6" t="s">
        <v>65</v>
      </c>
      <c r="H30" s="6"/>
      <c r="I30" s="6"/>
      <c r="K30" s="10"/>
      <c r="L30" s="14"/>
      <c r="M30" s="11"/>
      <c r="N30" s="10"/>
    </row>
    <row r="31" customFormat="false" ht="15" hidden="false" customHeight="true" outlineLevel="0" collapsed="false">
      <c r="A31" s="10"/>
      <c r="B31" s="11"/>
      <c r="C31" s="10"/>
      <c r="D31" s="10"/>
      <c r="E31" s="14"/>
      <c r="G31" s="12" t="s">
        <v>36</v>
      </c>
      <c r="H31" s="12"/>
      <c r="I31" s="14" t="n">
        <f aca="false">SUMIF($C$5:$C$64,$G31,$E$5:$E$64)+SUMIF($G$5:$G$12,$G31,$I$5:$I$12)+SUMIF($G$16:$G$23,$G31,$I$16:$I$23)</f>
        <v>0</v>
      </c>
    </row>
    <row r="32" customFormat="false" ht="15" hidden="false" customHeight="true" outlineLevel="0" collapsed="false">
      <c r="A32" s="10"/>
      <c r="B32" s="11"/>
      <c r="C32" s="10"/>
      <c r="D32" s="10"/>
      <c r="E32" s="14"/>
      <c r="G32" s="17" t="s">
        <v>40</v>
      </c>
      <c r="H32" s="17"/>
      <c r="I32" s="14" t="n">
        <f aca="false">SUMIF($C$5:$C$64,$G32,$E$5:$E$64)+SUMIF($G$5:$G$12,$G32,$I$5:$I$12)+SUMIF($G$16:$G$23,$G32,$I$16:$I$23)</f>
        <v>0</v>
      </c>
      <c r="K32" s="6" t="s">
        <v>66</v>
      </c>
      <c r="L32" s="6"/>
      <c r="M32" s="6"/>
      <c r="N32" s="6"/>
    </row>
    <row r="33" customFormat="false" ht="15" hidden="false" customHeight="true" outlineLevel="0" collapsed="false">
      <c r="A33" s="10"/>
      <c r="B33" s="11"/>
      <c r="C33" s="10"/>
      <c r="D33" s="10"/>
      <c r="E33" s="14"/>
      <c r="G33" s="18" t="s">
        <v>42</v>
      </c>
      <c r="H33" s="18"/>
      <c r="I33" s="14" t="n">
        <f aca="false">SUMIF($C$5:$C$64,$G33,$E$5:$E$64)+SUMIF($G$5:$G$12,$G33,$I$5:$I$12)+SUMIF($G$16:$G$23,$G33,$I$16:$I$23)</f>
        <v>0</v>
      </c>
      <c r="K33" s="31" t="s">
        <v>67</v>
      </c>
      <c r="L33" s="31"/>
      <c r="M33" s="31"/>
      <c r="N33" s="33" t="n">
        <f aca="false">COUNT($E$5:$E$64)</f>
        <v>0</v>
      </c>
    </row>
    <row r="34" customFormat="false" ht="15" hidden="false" customHeight="true" outlineLevel="0" collapsed="false">
      <c r="A34" s="10"/>
      <c r="B34" s="11"/>
      <c r="C34" s="10"/>
      <c r="D34" s="10"/>
      <c r="E34" s="14"/>
      <c r="G34" s="23" t="s">
        <v>49</v>
      </c>
      <c r="H34" s="23"/>
      <c r="I34" s="14" t="n">
        <f aca="false">SUMIF($C$5:$C$64,$G34,$E$5:$E$64)+SUMIF($G$5:$G$12,$G34,$I$5:$I$12)+SUMIF($G$16:$G$23,$G34,$I$16:$I$23)</f>
        <v>0</v>
      </c>
      <c r="K34" s="31" t="s">
        <v>68</v>
      </c>
      <c r="L34" s="31"/>
      <c r="M34" s="31"/>
      <c r="N34" s="14" t="n">
        <f aca="false">IF(COUNT($E$5:$E$64)=0,0,MAX($E$5:$E$64))</f>
        <v>0</v>
      </c>
    </row>
    <row r="35" customFormat="false" ht="15" hidden="false" customHeight="true" outlineLevel="0" collapsed="false">
      <c r="A35" s="10"/>
      <c r="B35" s="11"/>
      <c r="C35" s="10"/>
      <c r="D35" s="10"/>
      <c r="E35" s="14"/>
      <c r="G35" s="34" t="s">
        <v>69</v>
      </c>
      <c r="H35" s="34"/>
      <c r="I35" s="14" t="n">
        <f aca="false">SUMIF($C$5:$C$64,$G35,$E$5:$E$64)+SUMIF($G$5:$G$12,$G35,$I$5:$I$12)+SUMIF($G$16:$G$23,$G35,$I$16:$I$23)</f>
        <v>0</v>
      </c>
      <c r="K35" s="31" t="s">
        <v>70</v>
      </c>
      <c r="L35" s="31"/>
      <c r="M35" s="31"/>
      <c r="N35" s="33" t="str">
        <f aca="false">IF($E$3=0,"—",INDEX($A$5:$A$64,MATCH(MAX($E$5:$E$64),$E$5:$E$64,0)))</f>
        <v>—</v>
      </c>
    </row>
    <row r="36" customFormat="false" ht="15" hidden="false" customHeight="true" outlineLevel="0" collapsed="false">
      <c r="A36" s="10"/>
      <c r="B36" s="11"/>
      <c r="C36" s="10"/>
      <c r="D36" s="10"/>
      <c r="E36" s="14"/>
      <c r="G36" s="28" t="s">
        <v>56</v>
      </c>
      <c r="H36" s="28"/>
      <c r="I36" s="14" t="n">
        <f aca="false">SUMIF($C$5:$C$64,$G36,$E$5:$E$64)+SUMIF($G$5:$G$12,$G36,$I$5:$I$12)+SUMIF($G$16:$G$23,$G36,$I$16:$I$23)</f>
        <v>0</v>
      </c>
      <c r="K36" s="31" t="s">
        <v>71</v>
      </c>
      <c r="L36" s="31"/>
      <c r="M36" s="31"/>
      <c r="N36" s="33" t="str">
        <f aca="false">IF($E$3=0,"—",INDEX($K$5:$K$16,MATCH(MAX($M$5:$M$16),$M$5:$M$16,0)))</f>
        <v>—</v>
      </c>
    </row>
    <row r="37" customFormat="false" ht="15" hidden="false" customHeight="true" outlineLevel="0" collapsed="false">
      <c r="A37" s="10"/>
      <c r="B37" s="11"/>
      <c r="C37" s="10"/>
      <c r="D37" s="10"/>
      <c r="E37" s="14"/>
      <c r="G37" s="10" t="s">
        <v>72</v>
      </c>
      <c r="H37" s="10"/>
      <c r="I37" s="14"/>
      <c r="K37" s="31" t="s">
        <v>73</v>
      </c>
      <c r="L37" s="31"/>
      <c r="M37" s="31"/>
      <c r="N37" s="14" t="n">
        <f aca="false">IFERROR(AVERAGE($E$5:$E$64),0)</f>
        <v>0</v>
      </c>
    </row>
    <row r="38" customFormat="false" ht="15" hidden="false" customHeight="true" outlineLevel="0" collapsed="false">
      <c r="A38" s="10"/>
      <c r="B38" s="11"/>
      <c r="C38" s="10"/>
      <c r="D38" s="10"/>
      <c r="E38" s="14"/>
      <c r="G38" s="10" t="s">
        <v>74</v>
      </c>
      <c r="H38" s="10"/>
      <c r="I38" s="14"/>
      <c r="K38" s="31" t="s">
        <v>75</v>
      </c>
      <c r="L38" s="31"/>
      <c r="M38" s="31"/>
      <c r="N38" s="14" t="n">
        <f aca="false">IFERROR($E$3/DAY(EOMONTH(DATE(2026,5,1),0)),0)</f>
        <v>0</v>
      </c>
    </row>
    <row r="39" customFormat="false" ht="15" hidden="false" customHeight="true" outlineLevel="0" collapsed="false">
      <c r="A39" s="10"/>
      <c r="B39" s="11"/>
      <c r="C39" s="10"/>
      <c r="D39" s="10"/>
      <c r="E39" s="14"/>
      <c r="G39" s="29" t="s">
        <v>76</v>
      </c>
      <c r="H39" s="29"/>
      <c r="I39" s="9" t="n">
        <f aca="false">SUM(I31:I38)</f>
        <v>0</v>
      </c>
      <c r="K39" s="31" t="s">
        <v>77</v>
      </c>
      <c r="L39" s="31"/>
      <c r="M39" s="31"/>
      <c r="N39" s="16" t="n">
        <f aca="false">IFERROR($I$39/$I$28,0)</f>
        <v>0</v>
      </c>
    </row>
    <row r="40" customFormat="false" ht="15" hidden="false" customHeight="false" outlineLevel="0" collapsed="false">
      <c r="A40" s="10"/>
      <c r="B40" s="11"/>
      <c r="C40" s="10"/>
      <c r="D40" s="10"/>
      <c r="E40" s="14"/>
    </row>
    <row r="41" customFormat="false" ht="15" hidden="false" customHeight="true" outlineLevel="0" collapsed="false">
      <c r="A41" s="10"/>
      <c r="B41" s="11"/>
      <c r="C41" s="10"/>
      <c r="D41" s="10"/>
      <c r="E41" s="14"/>
      <c r="G41" s="6" t="s">
        <v>78</v>
      </c>
      <c r="H41" s="6"/>
      <c r="I41" s="6"/>
    </row>
    <row r="42" customFormat="false" ht="15" hidden="false" customHeight="true" outlineLevel="0" collapsed="false">
      <c r="A42" s="10"/>
      <c r="B42" s="11"/>
      <c r="C42" s="10"/>
      <c r="D42" s="10"/>
      <c r="E42" s="14"/>
      <c r="G42" s="10" t="s">
        <v>72</v>
      </c>
      <c r="H42" s="10"/>
      <c r="I42" s="14"/>
    </row>
    <row r="43" customFormat="false" ht="15" hidden="false" customHeight="true" outlineLevel="0" collapsed="false">
      <c r="A43" s="10"/>
      <c r="B43" s="11"/>
      <c r="C43" s="10"/>
      <c r="D43" s="10"/>
      <c r="E43" s="14"/>
      <c r="G43" s="10" t="s">
        <v>79</v>
      </c>
      <c r="H43" s="10"/>
      <c r="I43" s="14"/>
    </row>
    <row r="44" customFormat="false" ht="15" hidden="false" customHeight="true" outlineLevel="0" collapsed="false">
      <c r="A44" s="10"/>
      <c r="B44" s="11"/>
      <c r="C44" s="10"/>
      <c r="D44" s="10"/>
      <c r="E44" s="14"/>
      <c r="G44" s="29" t="s">
        <v>57</v>
      </c>
      <c r="H44" s="29"/>
      <c r="I44" s="9" t="n">
        <f aca="false">SUM(I42:I43)</f>
        <v>0</v>
      </c>
    </row>
    <row r="45" customFormat="false" ht="15" hidden="false" customHeight="false" outlineLevel="0" collapsed="false">
      <c r="A45" s="10"/>
      <c r="B45" s="11"/>
      <c r="C45" s="10"/>
      <c r="D45" s="10"/>
      <c r="E45" s="14"/>
    </row>
    <row r="46" customFormat="false" ht="15" hidden="false" customHeight="true" outlineLevel="0" collapsed="false">
      <c r="A46" s="10"/>
      <c r="B46" s="11"/>
      <c r="C46" s="10"/>
      <c r="D46" s="10"/>
      <c r="E46" s="14"/>
      <c r="G46" s="6" t="s">
        <v>80</v>
      </c>
      <c r="H46" s="6"/>
      <c r="I46" s="6"/>
    </row>
    <row r="47" customFormat="false" ht="31.5" hidden="false" customHeight="true" outlineLevel="0" collapsed="false">
      <c r="A47" s="10"/>
      <c r="B47" s="11"/>
      <c r="C47" s="10"/>
      <c r="D47" s="10"/>
      <c r="E47" s="14"/>
      <c r="G47" s="35" t="n">
        <f aca="false">I28-I39</f>
        <v>0</v>
      </c>
      <c r="H47" s="35"/>
      <c r="I47" s="35"/>
    </row>
    <row r="48" customFormat="false" ht="15" hidden="false" customHeight="false" outlineLevel="0" collapsed="false">
      <c r="A48" s="10"/>
      <c r="B48" s="11"/>
      <c r="C48" s="10"/>
      <c r="D48" s="10"/>
      <c r="E48" s="14"/>
    </row>
    <row r="49" customFormat="false" ht="15" hidden="false" customHeight="false" outlineLevel="0" collapsed="false">
      <c r="A49" s="10"/>
      <c r="B49" s="11"/>
      <c r="C49" s="10"/>
      <c r="D49" s="10"/>
      <c r="E49" s="14"/>
    </row>
    <row r="50" customFormat="false" ht="15" hidden="false" customHeight="false" outlineLevel="0" collapsed="false">
      <c r="A50" s="10"/>
      <c r="B50" s="11"/>
      <c r="C50" s="10"/>
      <c r="D50" s="10"/>
      <c r="E50" s="14"/>
    </row>
    <row r="51" customFormat="false" ht="15" hidden="false" customHeight="false" outlineLevel="0" collapsed="false">
      <c r="A51" s="10"/>
      <c r="B51" s="11"/>
      <c r="C51" s="10"/>
      <c r="D51" s="10"/>
      <c r="E51" s="14"/>
    </row>
    <row r="52" customFormat="false" ht="15" hidden="false" customHeight="false" outlineLevel="0" collapsed="false">
      <c r="A52" s="10"/>
      <c r="B52" s="11"/>
      <c r="C52" s="10"/>
      <c r="D52" s="10"/>
      <c r="E52" s="14"/>
    </row>
    <row r="53" customFormat="false" ht="15" hidden="false" customHeight="false" outlineLevel="0" collapsed="false">
      <c r="A53" s="10"/>
      <c r="B53" s="11"/>
      <c r="C53" s="10"/>
      <c r="D53" s="10"/>
      <c r="E53" s="14"/>
    </row>
    <row r="54" customFormat="false" ht="15" hidden="false" customHeight="false" outlineLevel="0" collapsed="false">
      <c r="A54" s="10"/>
      <c r="B54" s="11"/>
      <c r="C54" s="10"/>
      <c r="D54" s="10"/>
      <c r="E54" s="14"/>
    </row>
    <row r="55" customFormat="false" ht="15" hidden="false" customHeight="false" outlineLevel="0" collapsed="false">
      <c r="A55" s="10"/>
      <c r="B55" s="11"/>
      <c r="C55" s="10"/>
      <c r="D55" s="10"/>
      <c r="E55" s="14"/>
    </row>
    <row r="56" customFormat="false" ht="15" hidden="false" customHeight="false" outlineLevel="0" collapsed="false">
      <c r="A56" s="10"/>
      <c r="B56" s="11"/>
      <c r="C56" s="10"/>
      <c r="D56" s="10"/>
      <c r="E56" s="14"/>
    </row>
    <row r="57" customFormat="false" ht="15" hidden="false" customHeight="false" outlineLevel="0" collapsed="false">
      <c r="A57" s="10"/>
      <c r="B57" s="11"/>
      <c r="C57" s="10"/>
      <c r="D57" s="10"/>
      <c r="E57" s="14"/>
    </row>
    <row r="58" customFormat="false" ht="15" hidden="false" customHeight="false" outlineLevel="0" collapsed="false">
      <c r="A58" s="10"/>
      <c r="B58" s="11"/>
      <c r="C58" s="10"/>
      <c r="D58" s="10"/>
      <c r="E58" s="14"/>
    </row>
    <row r="59" customFormat="false" ht="15" hidden="false" customHeight="false" outlineLevel="0" collapsed="false">
      <c r="A59" s="10"/>
      <c r="B59" s="11"/>
      <c r="C59" s="10"/>
      <c r="D59" s="10"/>
      <c r="E59" s="14"/>
    </row>
    <row r="60" customFormat="false" ht="15" hidden="false" customHeight="false" outlineLevel="0" collapsed="false">
      <c r="A60" s="10"/>
      <c r="B60" s="11"/>
      <c r="C60" s="10"/>
      <c r="D60" s="10"/>
      <c r="E60" s="14"/>
    </row>
    <row r="61" customFormat="false" ht="15" hidden="false" customHeight="false" outlineLevel="0" collapsed="false">
      <c r="A61" s="10"/>
      <c r="B61" s="11"/>
      <c r="C61" s="10"/>
      <c r="D61" s="10"/>
      <c r="E61" s="14"/>
    </row>
    <row r="62" customFormat="false" ht="15" hidden="false" customHeight="false" outlineLevel="0" collapsed="false">
      <c r="A62" s="10"/>
      <c r="B62" s="11"/>
      <c r="C62" s="10"/>
      <c r="D62" s="10"/>
      <c r="E62" s="14"/>
    </row>
    <row r="63" customFormat="false" ht="15" hidden="false" customHeight="false" outlineLevel="0" collapsed="false">
      <c r="A63" s="10"/>
      <c r="B63" s="11"/>
      <c r="C63" s="10"/>
      <c r="D63" s="10"/>
      <c r="E63" s="14"/>
    </row>
    <row r="64" customFormat="false" ht="15" hidden="false" customHeight="false" outlineLevel="0" collapsed="false">
      <c r="A64" s="10"/>
      <c r="B64" s="11"/>
      <c r="C64" s="10"/>
      <c r="D64" s="10"/>
      <c r="E64" s="14"/>
    </row>
  </sheetData>
  <mergeCells count="34">
    <mergeCell ref="A1:N1"/>
    <mergeCell ref="A3:C3"/>
    <mergeCell ref="G3:H3"/>
    <mergeCell ref="K3:N3"/>
    <mergeCell ref="G14:H14"/>
    <mergeCell ref="K19:N19"/>
    <mergeCell ref="G25:I25"/>
    <mergeCell ref="G26:H26"/>
    <mergeCell ref="G27:H27"/>
    <mergeCell ref="G28:H28"/>
    <mergeCell ref="G30:I30"/>
    <mergeCell ref="G31:H31"/>
    <mergeCell ref="G32:H32"/>
    <mergeCell ref="K32:N32"/>
    <mergeCell ref="G33:H33"/>
    <mergeCell ref="K33:M33"/>
    <mergeCell ref="G34:H34"/>
    <mergeCell ref="K34:M34"/>
    <mergeCell ref="G35:H35"/>
    <mergeCell ref="K35:M35"/>
    <mergeCell ref="G36:H36"/>
    <mergeCell ref="K36:M36"/>
    <mergeCell ref="G37:H37"/>
    <mergeCell ref="K37:M37"/>
    <mergeCell ref="G38:H38"/>
    <mergeCell ref="K38:M38"/>
    <mergeCell ref="G39:H39"/>
    <mergeCell ref="K39:M39"/>
    <mergeCell ref="G41:I41"/>
    <mergeCell ref="G42:H42"/>
    <mergeCell ref="G43:H43"/>
    <mergeCell ref="G44:H44"/>
    <mergeCell ref="G46:I46"/>
    <mergeCell ref="G47:I47"/>
  </mergeCells>
  <conditionalFormatting sqref="C5:C64">
    <cfRule type="containsText" priority="2" operator="containsText" aboveAverage="0" equalAverage="0" bottom="0" percent="0" rank="0" text="Débito" dxfId="0">
      <formula>NOT(ISERROR(SEARCH("Débito",C5)))</formula>
    </cfRule>
    <cfRule type="containsText" priority="3" operator="containsText" aboveAverage="0" equalAverage="0" bottom="0" percent="0" rank="0" text="Crédito" dxfId="1">
      <formula>NOT(ISERROR(SEARCH("Crédito",C5)))</formula>
    </cfRule>
    <cfRule type="containsText" priority="4" operator="containsText" aboveAverage="0" equalAverage="0" bottom="0" percent="0" rank="0" text="Pix" dxfId="2">
      <formula>NOT(ISERROR(SEARCH("Pix",C5)))</formula>
    </cfRule>
    <cfRule type="containsText" priority="5" operator="containsText" aboveAverage="0" equalAverage="0" bottom="0" percent="0" rank="0" text="Dinheiro" dxfId="3">
      <formula>NOT(ISERROR(SEARCH("Dinheiro",C5)))</formula>
    </cfRule>
    <cfRule type="containsText" priority="6" operator="containsText" aboveAverage="0" equalAverage="0" bottom="0" percent="0" rank="0" text="Voucher" dxfId="4">
      <formula>NOT(ISERROR(SEARCH("Voucher",C5)))</formula>
    </cfRule>
    <cfRule type="containsText" priority="7" operator="containsText" aboveAverage="0" equalAverage="0" bottom="0" percent="0" rank="0" text="Outros" dxfId="5">
      <formula>NOT(ISERROR(SEARCH("Outros",C5)))</formula>
    </cfRule>
  </conditionalFormatting>
  <conditionalFormatting sqref="D5:D64">
    <cfRule type="containsText" priority="8" operator="containsText" aboveAverage="0" equalAverage="0" bottom="0" percent="0" rank="0" text="Mercado" dxfId="6">
      <formula>NOT(ISERROR(SEARCH("Mercado",D5)))</formula>
    </cfRule>
    <cfRule type="containsText" priority="9" operator="containsText" aboveAverage="0" equalAverage="0" bottom="0" percent="0" rank="0" text="Alimentação" dxfId="7">
      <formula>NOT(ISERROR(SEARCH("Alimentação",D5)))</formula>
    </cfRule>
    <cfRule type="containsText" priority="10" operator="containsText" aboveAverage="0" equalAverage="0" bottom="0" percent="0" rank="0" text="Farmácia" dxfId="8">
      <formula>NOT(ISERROR(SEARCH("Farmácia",D5)))</formula>
    </cfRule>
    <cfRule type="containsText" priority="11" operator="containsText" aboveAverage="0" equalAverage="0" bottom="0" percent="0" rank="0" text="Combustível" dxfId="9">
      <formula>NOT(ISERROR(SEARCH("Combustível",D5)))</formula>
    </cfRule>
    <cfRule type="containsText" priority="12" operator="containsText" aboveAverage="0" equalAverage="0" bottom="0" percent="0" rank="0" text="Transporte" dxfId="10">
      <formula>NOT(ISERROR(SEARCH("Transporte",D5)))</formula>
    </cfRule>
    <cfRule type="containsText" priority="13" operator="containsText" aboveAverage="0" equalAverage="0" bottom="0" percent="0" rank="0" text="Vestuário" dxfId="1">
      <formula>NOT(ISERROR(SEARCH("Vestuário",D5)))</formula>
    </cfRule>
    <cfRule type="containsText" priority="14" operator="containsText" aboveAverage="0" equalAverage="0" bottom="0" percent="0" rank="0" text="Eletrônicos" dxfId="11">
      <formula>NOT(ISERROR(SEARCH("Eletrônicos",D5)))</formula>
    </cfRule>
    <cfRule type="containsText" priority="15" operator="containsText" aboveAverage="0" equalAverage="0" bottom="0" percent="0" rank="0" text="Casa" dxfId="12">
      <formula>NOT(ISERROR(SEARCH("Casa",D5)))</formula>
    </cfRule>
    <cfRule type="containsText" priority="16" operator="containsText" aboveAverage="0" equalAverage="0" bottom="0" percent="0" rank="0" text="Saúde" dxfId="13">
      <formula>NOT(ISERROR(SEARCH("Saúde",D5)))</formula>
    </cfRule>
    <cfRule type="containsText" priority="17" operator="containsText" aboveAverage="0" equalAverage="0" bottom="0" percent="0" rank="0" text="Lazer" dxfId="14">
      <formula>NOT(ISERROR(SEARCH("Lazer",D5)))</formula>
    </cfRule>
    <cfRule type="containsText" priority="18" operator="containsText" aboveAverage="0" equalAverage="0" bottom="0" percent="0" rank="0" text="Serviços" dxfId="15">
      <formula>NOT(ISERROR(SEARCH("Serviços",D5)))</formula>
    </cfRule>
    <cfRule type="containsText" priority="19" operator="containsText" aboveAverage="0" equalAverage="0" bottom="0" percent="0" rank="0" text="Outros" dxfId="5">
      <formula>NOT(ISERROR(SEARCH("Outros",D5)))</formula>
    </cfRule>
  </conditionalFormatting>
  <dataValidations count="3">
    <dataValidation allowBlank="true" errorStyle="stop" operator="between" showDropDown="false" showErrorMessage="false" showInputMessage="false" sqref="D5:D24 H5:H12 H16:H23 D25:D64" type="list">
      <formula1>"Alimentação,Mercado,Farmácia,Combustível,Transporte,Vestuário,Eletrônicos,Casa,Saúde,Lazer,Serviços,Outros"</formula1>
      <formula2>0</formula2>
    </dataValidation>
    <dataValidation allowBlank="true" errorStyle="stop" operator="between" showDropDown="false" showErrorMessage="false" showInputMessage="false" sqref="C5:C24 G5:G12 G16:G23 C25:C64" type="list">
      <formula1>"Débito,Crédito,Pix,Dinheiro,Voucher,Outros"</formula1>
      <formula2>0</formula2>
    </dataValidation>
    <dataValidation allowBlank="true" errorStyle="stop" operator="between" showDropDown="false" showErrorMessage="false" showInputMessage="false" sqref="N21:N3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88A89"/>
    <pageSetUpPr fitToPage="false"/>
  </sheetPr>
  <dimension ref="A1:N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2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2"/>
    <col collapsed="false" customWidth="true" hidden="false" outlineLevel="0" max="11" min="11" style="0" width="17"/>
    <col collapsed="false" customWidth="true" hidden="false" outlineLevel="0" max="12" min="12" style="0" width="13"/>
    <col collapsed="false" customWidth="true" hidden="false" outlineLevel="0" max="14" min="13" style="0" width="12"/>
    <col collapsed="false" customWidth="true" hidden="false" outlineLevel="0" max="15" min="15" style="0" width="2"/>
  </cols>
  <sheetData>
    <row r="1" customFormat="false" ht="33.75" hidden="false" customHeight="true" outlineLevel="0" collapsed="false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9.7" hidden="false" customHeight="true" outlineLevel="0" collapsed="false">
      <c r="A3" s="6" t="s">
        <v>23</v>
      </c>
      <c r="B3" s="6"/>
      <c r="C3" s="6"/>
      <c r="D3" s="7" t="s">
        <v>24</v>
      </c>
      <c r="E3" s="8" t="n">
        <f aca="false">SUM(E5:E64)</f>
        <v>0</v>
      </c>
      <c r="G3" s="6" t="s">
        <v>25</v>
      </c>
      <c r="H3" s="6"/>
      <c r="I3" s="9" t="n">
        <f aca="false">SUM(I5:I12)</f>
        <v>0</v>
      </c>
      <c r="K3" s="6" t="s">
        <v>26</v>
      </c>
      <c r="L3" s="6"/>
      <c r="M3" s="6"/>
      <c r="N3" s="6"/>
    </row>
    <row r="4" customFormat="false" ht="15" hidden="false" customHeight="false" outlineLevel="0" collapsed="false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G4" s="6" t="s">
        <v>29</v>
      </c>
      <c r="H4" s="6" t="s">
        <v>30</v>
      </c>
      <c r="I4" s="6" t="s">
        <v>31</v>
      </c>
      <c r="K4" s="6" t="s">
        <v>30</v>
      </c>
      <c r="L4" s="6" t="s">
        <v>32</v>
      </c>
      <c r="M4" s="6" t="s">
        <v>33</v>
      </c>
      <c r="N4" s="6" t="s">
        <v>34</v>
      </c>
    </row>
    <row r="5" customFormat="false" ht="15" hidden="false" customHeight="false" outlineLevel="0" collapsed="false">
      <c r="A5" s="10"/>
      <c r="B5" s="11"/>
      <c r="C5" s="10"/>
      <c r="D5" s="10"/>
      <c r="E5" s="14"/>
      <c r="G5" s="10"/>
      <c r="H5" s="10"/>
      <c r="I5" s="14"/>
      <c r="K5" s="15" t="s">
        <v>38</v>
      </c>
      <c r="L5" s="14"/>
      <c r="M5" s="14" t="n">
        <f aca="false">SUMIF($D$5:$D$64,$K5,$E$5:$E$64)</f>
        <v>0</v>
      </c>
      <c r="N5" s="16" t="n">
        <f aca="false">IFERROR(M5/$E$3,0)</f>
        <v>0</v>
      </c>
    </row>
    <row r="6" customFormat="false" ht="15" hidden="false" customHeight="false" outlineLevel="0" collapsed="false">
      <c r="A6" s="10"/>
      <c r="B6" s="11"/>
      <c r="C6" s="10"/>
      <c r="D6" s="10"/>
      <c r="E6" s="14"/>
      <c r="G6" s="10"/>
      <c r="H6" s="10"/>
      <c r="I6" s="14"/>
      <c r="K6" s="13" t="s">
        <v>37</v>
      </c>
      <c r="L6" s="14"/>
      <c r="M6" s="14" t="n">
        <f aca="false">SUMIF($D$5:$D$64,$K6,$E$5:$E$64)</f>
        <v>0</v>
      </c>
      <c r="N6" s="16" t="n">
        <f aca="false">IFERROR(M6/$E$3,0)</f>
        <v>0</v>
      </c>
    </row>
    <row r="7" customFormat="false" ht="15" hidden="false" customHeight="false" outlineLevel="0" collapsed="false">
      <c r="A7" s="10"/>
      <c r="B7" s="11"/>
      <c r="C7" s="10"/>
      <c r="D7" s="10"/>
      <c r="E7" s="14"/>
      <c r="G7" s="10"/>
      <c r="H7" s="10"/>
      <c r="I7" s="14"/>
      <c r="K7" s="20" t="s">
        <v>44</v>
      </c>
      <c r="L7" s="14"/>
      <c r="M7" s="14" t="n">
        <f aca="false">SUMIF($D$5:$D$64,$K7,$E$5:$E$64)</f>
        <v>0</v>
      </c>
      <c r="N7" s="16" t="n">
        <f aca="false">IFERROR(M7/$E$3,0)</f>
        <v>0</v>
      </c>
    </row>
    <row r="8" customFormat="false" ht="15" hidden="false" customHeight="false" outlineLevel="0" collapsed="false">
      <c r="A8" s="10"/>
      <c r="B8" s="11"/>
      <c r="C8" s="10"/>
      <c r="D8" s="10"/>
      <c r="E8" s="14"/>
      <c r="G8" s="10"/>
      <c r="H8" s="10"/>
      <c r="I8" s="14"/>
      <c r="K8" s="22" t="s">
        <v>47</v>
      </c>
      <c r="L8" s="14"/>
      <c r="M8" s="14" t="n">
        <f aca="false">SUMIF($D$5:$D$64,$K8,$E$5:$E$64)</f>
        <v>0</v>
      </c>
      <c r="N8" s="16" t="n">
        <f aca="false">IFERROR(M8/$E$3,0)</f>
        <v>0</v>
      </c>
    </row>
    <row r="9" customFormat="false" ht="15" hidden="false" customHeight="false" outlineLevel="0" collapsed="false">
      <c r="A9" s="10"/>
      <c r="B9" s="11"/>
      <c r="C9" s="10"/>
      <c r="D9" s="10"/>
      <c r="E9" s="14"/>
      <c r="G9" s="10"/>
      <c r="H9" s="10"/>
      <c r="I9" s="14"/>
      <c r="K9" s="19" t="s">
        <v>43</v>
      </c>
      <c r="L9" s="14"/>
      <c r="M9" s="14" t="n">
        <f aca="false">SUMIF($D$5:$D$64,$K9,$E$5:$E$64)</f>
        <v>0</v>
      </c>
      <c r="N9" s="16" t="n">
        <f aca="false">IFERROR(M9/$E$3,0)</f>
        <v>0</v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G10" s="10"/>
      <c r="H10" s="10"/>
      <c r="I10" s="14"/>
      <c r="K10" s="17" t="s">
        <v>50</v>
      </c>
      <c r="L10" s="14"/>
      <c r="M10" s="14" t="n">
        <f aca="false">SUMIF($D$5:$D$64,$K10,$E$5:$E$64)</f>
        <v>0</v>
      </c>
      <c r="N10" s="16" t="n">
        <f aca="false">IFERROR(M10/$E$3,0)</f>
        <v>0</v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G11" s="10"/>
      <c r="H11" s="10"/>
      <c r="I11" s="14"/>
      <c r="K11" s="24" t="s">
        <v>51</v>
      </c>
      <c r="L11" s="14"/>
      <c r="M11" s="14" t="n">
        <f aca="false">SUMIF($D$5:$D$64,$K11,$E$5:$E$64)</f>
        <v>0</v>
      </c>
      <c r="N11" s="16" t="n">
        <f aca="false">IFERROR(M11/$E$3,0)</f>
        <v>0</v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G12" s="10"/>
      <c r="H12" s="10"/>
      <c r="I12" s="14"/>
      <c r="K12" s="21" t="s">
        <v>46</v>
      </c>
      <c r="L12" s="14"/>
      <c r="M12" s="14" t="n">
        <f aca="false">SUMIF($D$5:$D$64,$K12,$E$5:$E$64)</f>
        <v>0</v>
      </c>
      <c r="N12" s="16" t="n">
        <f aca="false">IFERROR(M12/$E$3,0)</f>
        <v>0</v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K13" s="25" t="s">
        <v>52</v>
      </c>
      <c r="L13" s="14"/>
      <c r="M13" s="14" t="n">
        <f aca="false">SUMIF($D$5:$D$64,$K13,$E$5:$E$64)</f>
        <v>0</v>
      </c>
      <c r="N13" s="16" t="n">
        <f aca="false">IFERROR(M13/$E$3,0)</f>
        <v>0</v>
      </c>
    </row>
    <row r="14" customFormat="false" ht="26.85" hidden="false" customHeight="true" outlineLevel="0" collapsed="false">
      <c r="A14" s="10"/>
      <c r="B14" s="11"/>
      <c r="C14" s="10"/>
      <c r="D14" s="10"/>
      <c r="E14" s="14"/>
      <c r="G14" s="6" t="s">
        <v>53</v>
      </c>
      <c r="H14" s="6"/>
      <c r="I14" s="9" t="n">
        <f aca="false">SUM(I16:I23)</f>
        <v>0</v>
      </c>
      <c r="K14" s="26" t="s">
        <v>54</v>
      </c>
      <c r="L14" s="14"/>
      <c r="M14" s="14" t="n">
        <f aca="false">SUMIF($D$5:$D$64,$K14,$E$5:$E$64)</f>
        <v>0</v>
      </c>
      <c r="N14" s="16" t="n">
        <f aca="false">IFERROR(M14/$E$3,0)</f>
        <v>0</v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G15" s="6" t="s">
        <v>29</v>
      </c>
      <c r="H15" s="6" t="s">
        <v>30</v>
      </c>
      <c r="I15" s="6" t="s">
        <v>31</v>
      </c>
      <c r="K15" s="27" t="s">
        <v>55</v>
      </c>
      <c r="L15" s="14"/>
      <c r="M15" s="14" t="n">
        <f aca="false">SUMIF($D$5:$D$64,$K15,$E$5:$E$64)</f>
        <v>0</v>
      </c>
      <c r="N15" s="16" t="n">
        <f aca="false">IFERROR(M15/$E$3,0)</f>
        <v>0</v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G16" s="10"/>
      <c r="H16" s="10"/>
      <c r="I16" s="14"/>
      <c r="K16" s="28" t="s">
        <v>56</v>
      </c>
      <c r="L16" s="14"/>
      <c r="M16" s="14" t="n">
        <f aca="false">SUMIF($D$5:$D$64,$K16,$E$5:$E$64)</f>
        <v>0</v>
      </c>
      <c r="N16" s="16" t="n">
        <f aca="false">IFERROR(M16/$E$3,0)</f>
        <v>0</v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G17" s="10"/>
      <c r="H17" s="10"/>
      <c r="I17" s="14"/>
      <c r="K17" s="29" t="s">
        <v>57</v>
      </c>
      <c r="L17" s="9" t="n">
        <f aca="false">SUM(L5:L16)</f>
        <v>0</v>
      </c>
      <c r="M17" s="9" t="n">
        <f aca="false">SUM(M5:M16)</f>
        <v>0</v>
      </c>
      <c r="N17" s="30" t="n">
        <f aca="false">IFERROR(M17/$E$3,0)</f>
        <v>0</v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G18" s="10"/>
      <c r="H18" s="10"/>
      <c r="I18" s="14"/>
    </row>
    <row r="19" customFormat="false" ht="15" hidden="false" customHeight="true" outlineLevel="0" collapsed="false">
      <c r="A19" s="10"/>
      <c r="B19" s="11"/>
      <c r="C19" s="10"/>
      <c r="D19" s="10"/>
      <c r="E19" s="14"/>
      <c r="G19" s="10"/>
      <c r="H19" s="10"/>
      <c r="I19" s="14"/>
      <c r="K19" s="6" t="s">
        <v>58</v>
      </c>
      <c r="L19" s="6"/>
      <c r="M19" s="6"/>
      <c r="N19" s="6"/>
    </row>
    <row r="20" customFormat="false" ht="15" hidden="false" customHeight="false" outlineLevel="0" collapsed="false">
      <c r="A20" s="10"/>
      <c r="B20" s="11"/>
      <c r="C20" s="10"/>
      <c r="D20" s="10"/>
      <c r="E20" s="14"/>
      <c r="G20" s="10"/>
      <c r="H20" s="10"/>
      <c r="I20" s="14"/>
      <c r="K20" s="6" t="s">
        <v>59</v>
      </c>
      <c r="L20" s="6" t="s">
        <v>31</v>
      </c>
      <c r="M20" s="6" t="s">
        <v>60</v>
      </c>
      <c r="N20" s="6" t="s">
        <v>61</v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G21" s="10"/>
      <c r="H21" s="10"/>
      <c r="I21" s="14"/>
      <c r="K21" s="10"/>
      <c r="L21" s="14"/>
      <c r="M21" s="11"/>
      <c r="N21" s="10"/>
    </row>
    <row r="22" customFormat="false" ht="15" hidden="false" customHeight="false" outlineLevel="0" collapsed="false">
      <c r="A22" s="10"/>
      <c r="B22" s="11"/>
      <c r="C22" s="10"/>
      <c r="D22" s="10"/>
      <c r="E22" s="14"/>
      <c r="G22" s="10"/>
      <c r="H22" s="10"/>
      <c r="I22" s="14"/>
      <c r="K22" s="10"/>
      <c r="L22" s="14"/>
      <c r="M22" s="11"/>
      <c r="N22" s="10"/>
    </row>
    <row r="23" customFormat="false" ht="15" hidden="false" customHeight="false" outlineLevel="0" collapsed="false">
      <c r="A23" s="10"/>
      <c r="B23" s="11"/>
      <c r="C23" s="10"/>
      <c r="D23" s="10"/>
      <c r="E23" s="14"/>
      <c r="G23" s="10"/>
      <c r="H23" s="10"/>
      <c r="I23" s="14"/>
      <c r="K23" s="10"/>
      <c r="L23" s="14"/>
      <c r="M23" s="11"/>
      <c r="N23" s="10"/>
    </row>
    <row r="24" customFormat="false" ht="15" hidden="false" customHeight="false" outlineLevel="0" collapsed="false">
      <c r="A24" s="10"/>
      <c r="B24" s="11"/>
      <c r="C24" s="10"/>
      <c r="D24" s="10"/>
      <c r="E24" s="14"/>
      <c r="K24" s="10"/>
      <c r="L24" s="14"/>
      <c r="M24" s="11"/>
      <c r="N24" s="10"/>
    </row>
    <row r="25" customFormat="false" ht="15" hidden="false" customHeight="true" outlineLevel="0" collapsed="false">
      <c r="A25" s="10"/>
      <c r="B25" s="11"/>
      <c r="C25" s="10"/>
      <c r="D25" s="10"/>
      <c r="E25" s="14"/>
      <c r="G25" s="6" t="s">
        <v>62</v>
      </c>
      <c r="H25" s="6"/>
      <c r="I25" s="6"/>
      <c r="K25" s="10"/>
      <c r="L25" s="14"/>
      <c r="M25" s="11"/>
      <c r="N25" s="10"/>
    </row>
    <row r="26" customFormat="false" ht="15" hidden="false" customHeight="true" outlineLevel="0" collapsed="false">
      <c r="A26" s="10"/>
      <c r="B26" s="11"/>
      <c r="C26" s="10"/>
      <c r="D26" s="10"/>
      <c r="E26" s="14"/>
      <c r="G26" s="31" t="s">
        <v>63</v>
      </c>
      <c r="H26" s="31"/>
      <c r="I26" s="14"/>
      <c r="K26" s="10"/>
      <c r="L26" s="14"/>
      <c r="M26" s="11"/>
      <c r="N26" s="10"/>
    </row>
    <row r="27" customFormat="false" ht="15" hidden="false" customHeight="true" outlineLevel="0" collapsed="false">
      <c r="A27" s="10"/>
      <c r="B27" s="11"/>
      <c r="C27" s="10"/>
      <c r="D27" s="10"/>
      <c r="E27" s="14"/>
      <c r="G27" s="31" t="s">
        <v>64</v>
      </c>
      <c r="H27" s="31"/>
      <c r="I27" s="14"/>
      <c r="K27" s="10"/>
      <c r="L27" s="14"/>
      <c r="M27" s="11"/>
      <c r="N27" s="10"/>
    </row>
    <row r="28" customFormat="false" ht="15" hidden="false" customHeight="true" outlineLevel="0" collapsed="false">
      <c r="A28" s="10"/>
      <c r="B28" s="11"/>
      <c r="C28" s="10"/>
      <c r="D28" s="10"/>
      <c r="E28" s="14"/>
      <c r="G28" s="32" t="s">
        <v>57</v>
      </c>
      <c r="H28" s="32"/>
      <c r="I28" s="9" t="n">
        <f aca="false">SUM(I26:I27)</f>
        <v>0</v>
      </c>
      <c r="K28" s="10"/>
      <c r="L28" s="14"/>
      <c r="M28" s="11"/>
      <c r="N28" s="10"/>
    </row>
    <row r="29" customFormat="false" ht="15" hidden="false" customHeight="false" outlineLevel="0" collapsed="false">
      <c r="A29" s="10"/>
      <c r="B29" s="11"/>
      <c r="C29" s="10"/>
      <c r="D29" s="10"/>
      <c r="E29" s="14"/>
      <c r="K29" s="10"/>
      <c r="L29" s="14"/>
      <c r="M29" s="11"/>
      <c r="N29" s="10"/>
    </row>
    <row r="30" customFormat="false" ht="15" hidden="false" customHeight="true" outlineLevel="0" collapsed="false">
      <c r="A30" s="10"/>
      <c r="B30" s="11"/>
      <c r="C30" s="10"/>
      <c r="D30" s="10"/>
      <c r="E30" s="14"/>
      <c r="G30" s="6" t="s">
        <v>65</v>
      </c>
      <c r="H30" s="6"/>
      <c r="I30" s="6"/>
      <c r="K30" s="10"/>
      <c r="L30" s="14"/>
      <c r="M30" s="11"/>
      <c r="N30" s="10"/>
    </row>
    <row r="31" customFormat="false" ht="15" hidden="false" customHeight="true" outlineLevel="0" collapsed="false">
      <c r="A31" s="10"/>
      <c r="B31" s="11"/>
      <c r="C31" s="10"/>
      <c r="D31" s="10"/>
      <c r="E31" s="14"/>
      <c r="G31" s="12" t="s">
        <v>36</v>
      </c>
      <c r="H31" s="12"/>
      <c r="I31" s="14" t="n">
        <f aca="false">SUMIF($C$5:$C$64,$G31,$E$5:$E$64)+SUMIF($G$5:$G$12,$G31,$I$5:$I$12)+SUMIF($G$16:$G$23,$G31,$I$16:$I$23)</f>
        <v>0</v>
      </c>
    </row>
    <row r="32" customFormat="false" ht="15" hidden="false" customHeight="true" outlineLevel="0" collapsed="false">
      <c r="A32" s="10"/>
      <c r="B32" s="11"/>
      <c r="C32" s="10"/>
      <c r="D32" s="10"/>
      <c r="E32" s="14"/>
      <c r="G32" s="17" t="s">
        <v>40</v>
      </c>
      <c r="H32" s="17"/>
      <c r="I32" s="14" t="n">
        <f aca="false">SUMIF($C$5:$C$64,$G32,$E$5:$E$64)+SUMIF($G$5:$G$12,$G32,$I$5:$I$12)+SUMIF($G$16:$G$23,$G32,$I$16:$I$23)</f>
        <v>0</v>
      </c>
      <c r="K32" s="6" t="s">
        <v>66</v>
      </c>
      <c r="L32" s="6"/>
      <c r="M32" s="6"/>
      <c r="N32" s="6"/>
    </row>
    <row r="33" customFormat="false" ht="15" hidden="false" customHeight="true" outlineLevel="0" collapsed="false">
      <c r="A33" s="10"/>
      <c r="B33" s="11"/>
      <c r="C33" s="10"/>
      <c r="D33" s="10"/>
      <c r="E33" s="14"/>
      <c r="G33" s="18" t="s">
        <v>42</v>
      </c>
      <c r="H33" s="18"/>
      <c r="I33" s="14" t="n">
        <f aca="false">SUMIF($C$5:$C$64,$G33,$E$5:$E$64)+SUMIF($G$5:$G$12,$G33,$I$5:$I$12)+SUMIF($G$16:$G$23,$G33,$I$16:$I$23)</f>
        <v>0</v>
      </c>
      <c r="K33" s="31" t="s">
        <v>67</v>
      </c>
      <c r="L33" s="31"/>
      <c r="M33" s="31"/>
      <c r="N33" s="33" t="n">
        <f aca="false">COUNT($E$5:$E$64)</f>
        <v>0</v>
      </c>
    </row>
    <row r="34" customFormat="false" ht="15" hidden="false" customHeight="true" outlineLevel="0" collapsed="false">
      <c r="A34" s="10"/>
      <c r="B34" s="11"/>
      <c r="C34" s="10"/>
      <c r="D34" s="10"/>
      <c r="E34" s="14"/>
      <c r="G34" s="23" t="s">
        <v>49</v>
      </c>
      <c r="H34" s="23"/>
      <c r="I34" s="14" t="n">
        <f aca="false">SUMIF($C$5:$C$64,$G34,$E$5:$E$64)+SUMIF($G$5:$G$12,$G34,$I$5:$I$12)+SUMIF($G$16:$G$23,$G34,$I$16:$I$23)</f>
        <v>0</v>
      </c>
      <c r="K34" s="31" t="s">
        <v>68</v>
      </c>
      <c r="L34" s="31"/>
      <c r="M34" s="31"/>
      <c r="N34" s="14" t="n">
        <f aca="false">IF(COUNT($E$5:$E$64)=0,0,MAX($E$5:$E$64))</f>
        <v>0</v>
      </c>
    </row>
    <row r="35" customFormat="false" ht="15" hidden="false" customHeight="true" outlineLevel="0" collapsed="false">
      <c r="A35" s="10"/>
      <c r="B35" s="11"/>
      <c r="C35" s="10"/>
      <c r="D35" s="10"/>
      <c r="E35" s="14"/>
      <c r="G35" s="34" t="s">
        <v>69</v>
      </c>
      <c r="H35" s="34"/>
      <c r="I35" s="14" t="n">
        <f aca="false">SUMIF($C$5:$C$64,$G35,$E$5:$E$64)+SUMIF($G$5:$G$12,$G35,$I$5:$I$12)+SUMIF($G$16:$G$23,$G35,$I$16:$I$23)</f>
        <v>0</v>
      </c>
      <c r="K35" s="31" t="s">
        <v>70</v>
      </c>
      <c r="L35" s="31"/>
      <c r="M35" s="31"/>
      <c r="N35" s="33" t="str">
        <f aca="false">IF($E$3=0,"—",INDEX($A$5:$A$64,MATCH(MAX($E$5:$E$64),$E$5:$E$64,0)))</f>
        <v>—</v>
      </c>
    </row>
    <row r="36" customFormat="false" ht="15" hidden="false" customHeight="true" outlineLevel="0" collapsed="false">
      <c r="A36" s="10"/>
      <c r="B36" s="11"/>
      <c r="C36" s="10"/>
      <c r="D36" s="10"/>
      <c r="E36" s="14"/>
      <c r="G36" s="28" t="s">
        <v>56</v>
      </c>
      <c r="H36" s="28"/>
      <c r="I36" s="14" t="n">
        <f aca="false">SUMIF($C$5:$C$64,$G36,$E$5:$E$64)+SUMIF($G$5:$G$12,$G36,$I$5:$I$12)+SUMIF($G$16:$G$23,$G36,$I$16:$I$23)</f>
        <v>0</v>
      </c>
      <c r="K36" s="31" t="s">
        <v>71</v>
      </c>
      <c r="L36" s="31"/>
      <c r="M36" s="31"/>
      <c r="N36" s="33" t="str">
        <f aca="false">IF($E$3=0,"—",INDEX($K$5:$K$16,MATCH(MAX($M$5:$M$16),$M$5:$M$16,0)))</f>
        <v>—</v>
      </c>
    </row>
    <row r="37" customFormat="false" ht="15" hidden="false" customHeight="true" outlineLevel="0" collapsed="false">
      <c r="A37" s="10"/>
      <c r="B37" s="11"/>
      <c r="C37" s="10"/>
      <c r="D37" s="10"/>
      <c r="E37" s="14"/>
      <c r="G37" s="10" t="s">
        <v>72</v>
      </c>
      <c r="H37" s="10"/>
      <c r="I37" s="14"/>
      <c r="K37" s="31" t="s">
        <v>73</v>
      </c>
      <c r="L37" s="31"/>
      <c r="M37" s="31"/>
      <c r="N37" s="14" t="n">
        <f aca="false">IFERROR(AVERAGE($E$5:$E$64),0)</f>
        <v>0</v>
      </c>
    </row>
    <row r="38" customFormat="false" ht="15" hidden="false" customHeight="true" outlineLevel="0" collapsed="false">
      <c r="A38" s="10"/>
      <c r="B38" s="11"/>
      <c r="C38" s="10"/>
      <c r="D38" s="10"/>
      <c r="E38" s="14"/>
      <c r="G38" s="10" t="s">
        <v>74</v>
      </c>
      <c r="H38" s="10"/>
      <c r="I38" s="14"/>
      <c r="K38" s="31" t="s">
        <v>75</v>
      </c>
      <c r="L38" s="31"/>
      <c r="M38" s="31"/>
      <c r="N38" s="14" t="n">
        <f aca="false">IFERROR($E$3/DAY(EOMONTH(DATE(2026,6,1),0)),0)</f>
        <v>0</v>
      </c>
    </row>
    <row r="39" customFormat="false" ht="15" hidden="false" customHeight="true" outlineLevel="0" collapsed="false">
      <c r="A39" s="10"/>
      <c r="B39" s="11"/>
      <c r="C39" s="10"/>
      <c r="D39" s="10"/>
      <c r="E39" s="14"/>
      <c r="G39" s="29" t="s">
        <v>76</v>
      </c>
      <c r="H39" s="29"/>
      <c r="I39" s="9" t="n">
        <f aca="false">SUM(I31:I38)</f>
        <v>0</v>
      </c>
      <c r="K39" s="31" t="s">
        <v>77</v>
      </c>
      <c r="L39" s="31"/>
      <c r="M39" s="31"/>
      <c r="N39" s="16" t="n">
        <f aca="false">IFERROR($I$39/$I$28,0)</f>
        <v>0</v>
      </c>
    </row>
    <row r="40" customFormat="false" ht="15" hidden="false" customHeight="false" outlineLevel="0" collapsed="false">
      <c r="A40" s="10"/>
      <c r="B40" s="11"/>
      <c r="C40" s="10"/>
      <c r="D40" s="10"/>
      <c r="E40" s="14"/>
    </row>
    <row r="41" customFormat="false" ht="15" hidden="false" customHeight="true" outlineLevel="0" collapsed="false">
      <c r="A41" s="10"/>
      <c r="B41" s="11"/>
      <c r="C41" s="10"/>
      <c r="D41" s="10"/>
      <c r="E41" s="14"/>
      <c r="G41" s="6" t="s">
        <v>78</v>
      </c>
      <c r="H41" s="6"/>
      <c r="I41" s="6"/>
    </row>
    <row r="42" customFormat="false" ht="15" hidden="false" customHeight="true" outlineLevel="0" collapsed="false">
      <c r="A42" s="10"/>
      <c r="B42" s="11"/>
      <c r="C42" s="10"/>
      <c r="D42" s="10"/>
      <c r="E42" s="14"/>
      <c r="G42" s="10" t="s">
        <v>72</v>
      </c>
      <c r="H42" s="10"/>
      <c r="I42" s="14"/>
    </row>
    <row r="43" customFormat="false" ht="15" hidden="false" customHeight="true" outlineLevel="0" collapsed="false">
      <c r="A43" s="10"/>
      <c r="B43" s="11"/>
      <c r="C43" s="10"/>
      <c r="D43" s="10"/>
      <c r="E43" s="14"/>
      <c r="G43" s="10" t="s">
        <v>79</v>
      </c>
      <c r="H43" s="10"/>
      <c r="I43" s="14"/>
    </row>
    <row r="44" customFormat="false" ht="15" hidden="false" customHeight="true" outlineLevel="0" collapsed="false">
      <c r="A44" s="10"/>
      <c r="B44" s="11"/>
      <c r="C44" s="10"/>
      <c r="D44" s="10"/>
      <c r="E44" s="14"/>
      <c r="G44" s="29" t="s">
        <v>57</v>
      </c>
      <c r="H44" s="29"/>
      <c r="I44" s="9" t="n">
        <f aca="false">SUM(I42:I43)</f>
        <v>0</v>
      </c>
    </row>
    <row r="45" customFormat="false" ht="15" hidden="false" customHeight="false" outlineLevel="0" collapsed="false">
      <c r="A45" s="10"/>
      <c r="B45" s="11"/>
      <c r="C45" s="10"/>
      <c r="D45" s="10"/>
      <c r="E45" s="14"/>
    </row>
    <row r="46" customFormat="false" ht="15" hidden="false" customHeight="true" outlineLevel="0" collapsed="false">
      <c r="A46" s="10"/>
      <c r="B46" s="11"/>
      <c r="C46" s="10"/>
      <c r="D46" s="10"/>
      <c r="E46" s="14"/>
      <c r="G46" s="6" t="s">
        <v>80</v>
      </c>
      <c r="H46" s="6"/>
      <c r="I46" s="6"/>
    </row>
    <row r="47" customFormat="false" ht="31.5" hidden="false" customHeight="true" outlineLevel="0" collapsed="false">
      <c r="A47" s="10"/>
      <c r="B47" s="11"/>
      <c r="C47" s="10"/>
      <c r="D47" s="10"/>
      <c r="E47" s="14"/>
      <c r="G47" s="35" t="n">
        <f aca="false">I28-I39</f>
        <v>0</v>
      </c>
      <c r="H47" s="35"/>
      <c r="I47" s="35"/>
    </row>
    <row r="48" customFormat="false" ht="15" hidden="false" customHeight="false" outlineLevel="0" collapsed="false">
      <c r="A48" s="10"/>
      <c r="B48" s="11"/>
      <c r="C48" s="10"/>
      <c r="D48" s="10"/>
      <c r="E48" s="14"/>
    </row>
    <row r="49" customFormat="false" ht="15" hidden="false" customHeight="false" outlineLevel="0" collapsed="false">
      <c r="A49" s="10"/>
      <c r="B49" s="11"/>
      <c r="C49" s="10"/>
      <c r="D49" s="10"/>
      <c r="E49" s="14"/>
    </row>
    <row r="50" customFormat="false" ht="15" hidden="false" customHeight="false" outlineLevel="0" collapsed="false">
      <c r="A50" s="10"/>
      <c r="B50" s="11"/>
      <c r="C50" s="10"/>
      <c r="D50" s="10"/>
      <c r="E50" s="14"/>
    </row>
    <row r="51" customFormat="false" ht="15" hidden="false" customHeight="false" outlineLevel="0" collapsed="false">
      <c r="A51" s="10"/>
      <c r="B51" s="11"/>
      <c r="C51" s="10"/>
      <c r="D51" s="10"/>
      <c r="E51" s="14"/>
    </row>
    <row r="52" customFormat="false" ht="15" hidden="false" customHeight="false" outlineLevel="0" collapsed="false">
      <c r="A52" s="10"/>
      <c r="B52" s="11"/>
      <c r="C52" s="10"/>
      <c r="D52" s="10"/>
      <c r="E52" s="14"/>
    </row>
    <row r="53" customFormat="false" ht="15" hidden="false" customHeight="false" outlineLevel="0" collapsed="false">
      <c r="A53" s="10"/>
      <c r="B53" s="11"/>
      <c r="C53" s="10"/>
      <c r="D53" s="10"/>
      <c r="E53" s="14"/>
    </row>
    <row r="54" customFormat="false" ht="15" hidden="false" customHeight="false" outlineLevel="0" collapsed="false">
      <c r="A54" s="10"/>
      <c r="B54" s="11"/>
      <c r="C54" s="10"/>
      <c r="D54" s="10"/>
      <c r="E54" s="14"/>
    </row>
    <row r="55" customFormat="false" ht="15" hidden="false" customHeight="false" outlineLevel="0" collapsed="false">
      <c r="A55" s="10"/>
      <c r="B55" s="11"/>
      <c r="C55" s="10"/>
      <c r="D55" s="10"/>
      <c r="E55" s="14"/>
    </row>
    <row r="56" customFormat="false" ht="15" hidden="false" customHeight="false" outlineLevel="0" collapsed="false">
      <c r="A56" s="10"/>
      <c r="B56" s="11"/>
      <c r="C56" s="10"/>
      <c r="D56" s="10"/>
      <c r="E56" s="14"/>
    </row>
    <row r="57" customFormat="false" ht="15" hidden="false" customHeight="false" outlineLevel="0" collapsed="false">
      <c r="A57" s="10"/>
      <c r="B57" s="11"/>
      <c r="C57" s="10"/>
      <c r="D57" s="10"/>
      <c r="E57" s="14"/>
    </row>
    <row r="58" customFormat="false" ht="15" hidden="false" customHeight="false" outlineLevel="0" collapsed="false">
      <c r="A58" s="10"/>
      <c r="B58" s="11"/>
      <c r="C58" s="10"/>
      <c r="D58" s="10"/>
      <c r="E58" s="14"/>
    </row>
    <row r="59" customFormat="false" ht="15" hidden="false" customHeight="false" outlineLevel="0" collapsed="false">
      <c r="A59" s="10"/>
      <c r="B59" s="11"/>
      <c r="C59" s="10"/>
      <c r="D59" s="10"/>
      <c r="E59" s="14"/>
    </row>
    <row r="60" customFormat="false" ht="15" hidden="false" customHeight="false" outlineLevel="0" collapsed="false">
      <c r="A60" s="10"/>
      <c r="B60" s="11"/>
      <c r="C60" s="10"/>
      <c r="D60" s="10"/>
      <c r="E60" s="14"/>
    </row>
    <row r="61" customFormat="false" ht="15" hidden="false" customHeight="false" outlineLevel="0" collapsed="false">
      <c r="A61" s="10"/>
      <c r="B61" s="11"/>
      <c r="C61" s="10"/>
      <c r="D61" s="10"/>
      <c r="E61" s="14"/>
    </row>
    <row r="62" customFormat="false" ht="15" hidden="false" customHeight="false" outlineLevel="0" collapsed="false">
      <c r="A62" s="10"/>
      <c r="B62" s="11"/>
      <c r="C62" s="10"/>
      <c r="D62" s="10"/>
      <c r="E62" s="14"/>
    </row>
    <row r="63" customFormat="false" ht="15" hidden="false" customHeight="false" outlineLevel="0" collapsed="false">
      <c r="A63" s="10"/>
      <c r="B63" s="11"/>
      <c r="C63" s="10"/>
      <c r="D63" s="10"/>
      <c r="E63" s="14"/>
    </row>
    <row r="64" customFormat="false" ht="15" hidden="false" customHeight="false" outlineLevel="0" collapsed="false">
      <c r="A64" s="10"/>
      <c r="B64" s="11"/>
      <c r="C64" s="10"/>
      <c r="D64" s="10"/>
      <c r="E64" s="14"/>
    </row>
  </sheetData>
  <mergeCells count="34">
    <mergeCell ref="A1:N1"/>
    <mergeCell ref="A3:C3"/>
    <mergeCell ref="G3:H3"/>
    <mergeCell ref="K3:N3"/>
    <mergeCell ref="G14:H14"/>
    <mergeCell ref="K19:N19"/>
    <mergeCell ref="G25:I25"/>
    <mergeCell ref="G26:H26"/>
    <mergeCell ref="G27:H27"/>
    <mergeCell ref="G28:H28"/>
    <mergeCell ref="G30:I30"/>
    <mergeCell ref="G31:H31"/>
    <mergeCell ref="G32:H32"/>
    <mergeCell ref="K32:N32"/>
    <mergeCell ref="G33:H33"/>
    <mergeCell ref="K33:M33"/>
    <mergeCell ref="G34:H34"/>
    <mergeCell ref="K34:M34"/>
    <mergeCell ref="G35:H35"/>
    <mergeCell ref="K35:M35"/>
    <mergeCell ref="G36:H36"/>
    <mergeCell ref="K36:M36"/>
    <mergeCell ref="G37:H37"/>
    <mergeCell ref="K37:M37"/>
    <mergeCell ref="G38:H38"/>
    <mergeCell ref="K38:M38"/>
    <mergeCell ref="G39:H39"/>
    <mergeCell ref="K39:M39"/>
    <mergeCell ref="G41:I41"/>
    <mergeCell ref="G42:H42"/>
    <mergeCell ref="G43:H43"/>
    <mergeCell ref="G44:H44"/>
    <mergeCell ref="G46:I46"/>
    <mergeCell ref="G47:I47"/>
  </mergeCells>
  <conditionalFormatting sqref="C5:C64">
    <cfRule type="containsText" priority="2" operator="containsText" aboveAverage="0" equalAverage="0" bottom="0" percent="0" rank="0" text="Débito" dxfId="0">
      <formula>NOT(ISERROR(SEARCH("Débito",C5)))</formula>
    </cfRule>
    <cfRule type="containsText" priority="3" operator="containsText" aboveAverage="0" equalAverage="0" bottom="0" percent="0" rank="0" text="Crédito" dxfId="1">
      <formula>NOT(ISERROR(SEARCH("Crédito",C5)))</formula>
    </cfRule>
    <cfRule type="containsText" priority="4" operator="containsText" aboveAverage="0" equalAverage="0" bottom="0" percent="0" rank="0" text="Pix" dxfId="2">
      <formula>NOT(ISERROR(SEARCH("Pix",C5)))</formula>
    </cfRule>
    <cfRule type="containsText" priority="5" operator="containsText" aboveAverage="0" equalAverage="0" bottom="0" percent="0" rank="0" text="Dinheiro" dxfId="3">
      <formula>NOT(ISERROR(SEARCH("Dinheiro",C5)))</formula>
    </cfRule>
    <cfRule type="containsText" priority="6" operator="containsText" aboveAverage="0" equalAverage="0" bottom="0" percent="0" rank="0" text="Voucher" dxfId="4">
      <formula>NOT(ISERROR(SEARCH("Voucher",C5)))</formula>
    </cfRule>
    <cfRule type="containsText" priority="7" operator="containsText" aboveAverage="0" equalAverage="0" bottom="0" percent="0" rank="0" text="Outros" dxfId="5">
      <formula>NOT(ISERROR(SEARCH("Outros",C5)))</formula>
    </cfRule>
  </conditionalFormatting>
  <conditionalFormatting sqref="D5:D64">
    <cfRule type="containsText" priority="8" operator="containsText" aboveAverage="0" equalAverage="0" bottom="0" percent="0" rank="0" text="Mercado" dxfId="6">
      <formula>NOT(ISERROR(SEARCH("Mercado",D5)))</formula>
    </cfRule>
    <cfRule type="containsText" priority="9" operator="containsText" aboveAverage="0" equalAverage="0" bottom="0" percent="0" rank="0" text="Alimentação" dxfId="7">
      <formula>NOT(ISERROR(SEARCH("Alimentação",D5)))</formula>
    </cfRule>
    <cfRule type="containsText" priority="10" operator="containsText" aboveAverage="0" equalAverage="0" bottom="0" percent="0" rank="0" text="Farmácia" dxfId="8">
      <formula>NOT(ISERROR(SEARCH("Farmácia",D5)))</formula>
    </cfRule>
    <cfRule type="containsText" priority="11" operator="containsText" aboveAverage="0" equalAverage="0" bottom="0" percent="0" rank="0" text="Combustível" dxfId="9">
      <formula>NOT(ISERROR(SEARCH("Combustível",D5)))</formula>
    </cfRule>
    <cfRule type="containsText" priority="12" operator="containsText" aboveAverage="0" equalAverage="0" bottom="0" percent="0" rank="0" text="Transporte" dxfId="10">
      <formula>NOT(ISERROR(SEARCH("Transporte",D5)))</formula>
    </cfRule>
    <cfRule type="containsText" priority="13" operator="containsText" aboveAverage="0" equalAverage="0" bottom="0" percent="0" rank="0" text="Vestuário" dxfId="1">
      <formula>NOT(ISERROR(SEARCH("Vestuário",D5)))</formula>
    </cfRule>
    <cfRule type="containsText" priority="14" operator="containsText" aboveAverage="0" equalAverage="0" bottom="0" percent="0" rank="0" text="Eletrônicos" dxfId="11">
      <formula>NOT(ISERROR(SEARCH("Eletrônicos",D5)))</formula>
    </cfRule>
    <cfRule type="containsText" priority="15" operator="containsText" aboveAverage="0" equalAverage="0" bottom="0" percent="0" rank="0" text="Casa" dxfId="12">
      <formula>NOT(ISERROR(SEARCH("Casa",D5)))</formula>
    </cfRule>
    <cfRule type="containsText" priority="16" operator="containsText" aboveAverage="0" equalAverage="0" bottom="0" percent="0" rank="0" text="Saúde" dxfId="13">
      <formula>NOT(ISERROR(SEARCH("Saúde",D5)))</formula>
    </cfRule>
    <cfRule type="containsText" priority="17" operator="containsText" aboveAverage="0" equalAverage="0" bottom="0" percent="0" rank="0" text="Lazer" dxfId="14">
      <formula>NOT(ISERROR(SEARCH("Lazer",D5)))</formula>
    </cfRule>
    <cfRule type="containsText" priority="18" operator="containsText" aboveAverage="0" equalAverage="0" bottom="0" percent="0" rank="0" text="Serviços" dxfId="15">
      <formula>NOT(ISERROR(SEARCH("Serviços",D5)))</formula>
    </cfRule>
    <cfRule type="containsText" priority="19" operator="containsText" aboveAverage="0" equalAverage="0" bottom="0" percent="0" rank="0" text="Outros" dxfId="5">
      <formula>NOT(ISERROR(SEARCH("Outros",D5)))</formula>
    </cfRule>
  </conditionalFormatting>
  <dataValidations count="3">
    <dataValidation allowBlank="true" errorStyle="stop" operator="between" showDropDown="false" showErrorMessage="false" showInputMessage="false" sqref="D5:D24 H5:H12 H16:H23 D25:D64" type="list">
      <formula1>"Alimentação,Mercado,Farmácia,Combustível,Transporte,Vestuário,Eletrônicos,Casa,Saúde,Lazer,Serviços,Outros"</formula1>
      <formula2>0</formula2>
    </dataValidation>
    <dataValidation allowBlank="true" errorStyle="stop" operator="between" showDropDown="false" showErrorMessage="false" showInputMessage="false" sqref="C5:C24 G5:G12 G16:G23 C25:C64" type="list">
      <formula1>"Débito,Crédito,Pix,Dinheiro,Voucher,Outros"</formula1>
      <formula2>0</formula2>
    </dataValidation>
    <dataValidation allowBlank="true" errorStyle="stop" operator="between" showDropDown="false" showErrorMessage="false" showInputMessage="false" sqref="N21:N3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88A89"/>
    <pageSetUpPr fitToPage="false"/>
  </sheetPr>
  <dimension ref="A1:N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2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2"/>
    <col collapsed="false" customWidth="true" hidden="false" outlineLevel="0" max="11" min="11" style="0" width="17"/>
    <col collapsed="false" customWidth="true" hidden="false" outlineLevel="0" max="12" min="12" style="0" width="13"/>
    <col collapsed="false" customWidth="true" hidden="false" outlineLevel="0" max="14" min="13" style="0" width="12"/>
    <col collapsed="false" customWidth="true" hidden="false" outlineLevel="0" max="15" min="15" style="0" width="2"/>
  </cols>
  <sheetData>
    <row r="1" customFormat="false" ht="33.75" hidden="false" customHeight="true" outlineLevel="0" collapsed="false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9.7" hidden="false" customHeight="true" outlineLevel="0" collapsed="false">
      <c r="A3" s="6" t="s">
        <v>23</v>
      </c>
      <c r="B3" s="6"/>
      <c r="C3" s="6"/>
      <c r="D3" s="7" t="s">
        <v>24</v>
      </c>
      <c r="E3" s="8" t="n">
        <f aca="false">SUM(E5:E64)</f>
        <v>0</v>
      </c>
      <c r="G3" s="6" t="s">
        <v>25</v>
      </c>
      <c r="H3" s="6"/>
      <c r="I3" s="9" t="n">
        <f aca="false">SUM(I5:I12)</f>
        <v>0</v>
      </c>
      <c r="K3" s="6" t="s">
        <v>26</v>
      </c>
      <c r="L3" s="6"/>
      <c r="M3" s="6"/>
      <c r="N3" s="6"/>
    </row>
    <row r="4" customFormat="false" ht="15" hidden="false" customHeight="false" outlineLevel="0" collapsed="false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G4" s="6" t="s">
        <v>29</v>
      </c>
      <c r="H4" s="6" t="s">
        <v>30</v>
      </c>
      <c r="I4" s="6" t="s">
        <v>31</v>
      </c>
      <c r="K4" s="6" t="s">
        <v>30</v>
      </c>
      <c r="L4" s="6" t="s">
        <v>32</v>
      </c>
      <c r="M4" s="6" t="s">
        <v>33</v>
      </c>
      <c r="N4" s="6" t="s">
        <v>34</v>
      </c>
    </row>
    <row r="5" customFormat="false" ht="15" hidden="false" customHeight="false" outlineLevel="0" collapsed="false">
      <c r="A5" s="10"/>
      <c r="B5" s="11"/>
      <c r="C5" s="10"/>
      <c r="D5" s="10"/>
      <c r="E5" s="14"/>
      <c r="G5" s="10"/>
      <c r="H5" s="10"/>
      <c r="I5" s="14"/>
      <c r="K5" s="15" t="s">
        <v>38</v>
      </c>
      <c r="L5" s="14"/>
      <c r="M5" s="14" t="n">
        <f aca="false">SUMIF($D$5:$D$64,$K5,$E$5:$E$64)</f>
        <v>0</v>
      </c>
      <c r="N5" s="16" t="n">
        <f aca="false">IFERROR(M5/$E$3,0)</f>
        <v>0</v>
      </c>
    </row>
    <row r="6" customFormat="false" ht="15" hidden="false" customHeight="false" outlineLevel="0" collapsed="false">
      <c r="A6" s="10"/>
      <c r="B6" s="11"/>
      <c r="C6" s="10"/>
      <c r="D6" s="10"/>
      <c r="E6" s="14"/>
      <c r="G6" s="10"/>
      <c r="H6" s="10"/>
      <c r="I6" s="14"/>
      <c r="K6" s="13" t="s">
        <v>37</v>
      </c>
      <c r="L6" s="14"/>
      <c r="M6" s="14" t="n">
        <f aca="false">SUMIF($D$5:$D$64,$K6,$E$5:$E$64)</f>
        <v>0</v>
      </c>
      <c r="N6" s="16" t="n">
        <f aca="false">IFERROR(M6/$E$3,0)</f>
        <v>0</v>
      </c>
    </row>
    <row r="7" customFormat="false" ht="15" hidden="false" customHeight="false" outlineLevel="0" collapsed="false">
      <c r="A7" s="10"/>
      <c r="B7" s="11"/>
      <c r="C7" s="10"/>
      <c r="D7" s="10"/>
      <c r="E7" s="14"/>
      <c r="G7" s="10"/>
      <c r="H7" s="10"/>
      <c r="I7" s="14"/>
      <c r="K7" s="20" t="s">
        <v>44</v>
      </c>
      <c r="L7" s="14"/>
      <c r="M7" s="14" t="n">
        <f aca="false">SUMIF($D$5:$D$64,$K7,$E$5:$E$64)</f>
        <v>0</v>
      </c>
      <c r="N7" s="16" t="n">
        <f aca="false">IFERROR(M7/$E$3,0)</f>
        <v>0</v>
      </c>
    </row>
    <row r="8" customFormat="false" ht="15" hidden="false" customHeight="false" outlineLevel="0" collapsed="false">
      <c r="A8" s="10"/>
      <c r="B8" s="11"/>
      <c r="C8" s="10"/>
      <c r="D8" s="10"/>
      <c r="E8" s="14"/>
      <c r="G8" s="10"/>
      <c r="H8" s="10"/>
      <c r="I8" s="14"/>
      <c r="K8" s="22" t="s">
        <v>47</v>
      </c>
      <c r="L8" s="14"/>
      <c r="M8" s="14" t="n">
        <f aca="false">SUMIF($D$5:$D$64,$K8,$E$5:$E$64)</f>
        <v>0</v>
      </c>
      <c r="N8" s="16" t="n">
        <f aca="false">IFERROR(M8/$E$3,0)</f>
        <v>0</v>
      </c>
    </row>
    <row r="9" customFormat="false" ht="15" hidden="false" customHeight="false" outlineLevel="0" collapsed="false">
      <c r="A9" s="10"/>
      <c r="B9" s="11"/>
      <c r="C9" s="10"/>
      <c r="D9" s="10"/>
      <c r="E9" s="14"/>
      <c r="G9" s="10"/>
      <c r="H9" s="10"/>
      <c r="I9" s="14"/>
      <c r="K9" s="19" t="s">
        <v>43</v>
      </c>
      <c r="L9" s="14"/>
      <c r="M9" s="14" t="n">
        <f aca="false">SUMIF($D$5:$D$64,$K9,$E$5:$E$64)</f>
        <v>0</v>
      </c>
      <c r="N9" s="16" t="n">
        <f aca="false">IFERROR(M9/$E$3,0)</f>
        <v>0</v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G10" s="10"/>
      <c r="H10" s="10"/>
      <c r="I10" s="14"/>
      <c r="K10" s="17" t="s">
        <v>50</v>
      </c>
      <c r="L10" s="14"/>
      <c r="M10" s="14" t="n">
        <f aca="false">SUMIF($D$5:$D$64,$K10,$E$5:$E$64)</f>
        <v>0</v>
      </c>
      <c r="N10" s="16" t="n">
        <f aca="false">IFERROR(M10/$E$3,0)</f>
        <v>0</v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G11" s="10"/>
      <c r="H11" s="10"/>
      <c r="I11" s="14"/>
      <c r="K11" s="24" t="s">
        <v>51</v>
      </c>
      <c r="L11" s="14"/>
      <c r="M11" s="14" t="n">
        <f aca="false">SUMIF($D$5:$D$64,$K11,$E$5:$E$64)</f>
        <v>0</v>
      </c>
      <c r="N11" s="16" t="n">
        <f aca="false">IFERROR(M11/$E$3,0)</f>
        <v>0</v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G12" s="10"/>
      <c r="H12" s="10"/>
      <c r="I12" s="14"/>
      <c r="K12" s="21" t="s">
        <v>46</v>
      </c>
      <c r="L12" s="14"/>
      <c r="M12" s="14" t="n">
        <f aca="false">SUMIF($D$5:$D$64,$K12,$E$5:$E$64)</f>
        <v>0</v>
      </c>
      <c r="N12" s="16" t="n">
        <f aca="false">IFERROR(M12/$E$3,0)</f>
        <v>0</v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K13" s="25" t="s">
        <v>52</v>
      </c>
      <c r="L13" s="14"/>
      <c r="M13" s="14" t="n">
        <f aca="false">SUMIF($D$5:$D$64,$K13,$E$5:$E$64)</f>
        <v>0</v>
      </c>
      <c r="N13" s="16" t="n">
        <f aca="false">IFERROR(M13/$E$3,0)</f>
        <v>0</v>
      </c>
    </row>
    <row r="14" customFormat="false" ht="26.85" hidden="false" customHeight="true" outlineLevel="0" collapsed="false">
      <c r="A14" s="10"/>
      <c r="B14" s="11"/>
      <c r="C14" s="10"/>
      <c r="D14" s="10"/>
      <c r="E14" s="14"/>
      <c r="G14" s="6" t="s">
        <v>53</v>
      </c>
      <c r="H14" s="6"/>
      <c r="I14" s="9" t="n">
        <f aca="false">SUM(I16:I23)</f>
        <v>0</v>
      </c>
      <c r="K14" s="26" t="s">
        <v>54</v>
      </c>
      <c r="L14" s="14"/>
      <c r="M14" s="14" t="n">
        <f aca="false">SUMIF($D$5:$D$64,$K14,$E$5:$E$64)</f>
        <v>0</v>
      </c>
      <c r="N14" s="16" t="n">
        <f aca="false">IFERROR(M14/$E$3,0)</f>
        <v>0</v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G15" s="6" t="s">
        <v>29</v>
      </c>
      <c r="H15" s="6" t="s">
        <v>30</v>
      </c>
      <c r="I15" s="6" t="s">
        <v>31</v>
      </c>
      <c r="K15" s="27" t="s">
        <v>55</v>
      </c>
      <c r="L15" s="14"/>
      <c r="M15" s="14" t="n">
        <f aca="false">SUMIF($D$5:$D$64,$K15,$E$5:$E$64)</f>
        <v>0</v>
      </c>
      <c r="N15" s="16" t="n">
        <f aca="false">IFERROR(M15/$E$3,0)</f>
        <v>0</v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G16" s="10"/>
      <c r="H16" s="10"/>
      <c r="I16" s="14"/>
      <c r="K16" s="28" t="s">
        <v>56</v>
      </c>
      <c r="L16" s="14"/>
      <c r="M16" s="14" t="n">
        <f aca="false">SUMIF($D$5:$D$64,$K16,$E$5:$E$64)</f>
        <v>0</v>
      </c>
      <c r="N16" s="16" t="n">
        <f aca="false">IFERROR(M16/$E$3,0)</f>
        <v>0</v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G17" s="10"/>
      <c r="H17" s="10"/>
      <c r="I17" s="14"/>
      <c r="K17" s="29" t="s">
        <v>57</v>
      </c>
      <c r="L17" s="9" t="n">
        <f aca="false">SUM(L5:L16)</f>
        <v>0</v>
      </c>
      <c r="M17" s="9" t="n">
        <f aca="false">SUM(M5:M16)</f>
        <v>0</v>
      </c>
      <c r="N17" s="30" t="n">
        <f aca="false">IFERROR(M17/$E$3,0)</f>
        <v>0</v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G18" s="10"/>
      <c r="H18" s="10"/>
      <c r="I18" s="14"/>
    </row>
    <row r="19" customFormat="false" ht="15" hidden="false" customHeight="true" outlineLevel="0" collapsed="false">
      <c r="A19" s="10"/>
      <c r="B19" s="11"/>
      <c r="C19" s="10"/>
      <c r="D19" s="10"/>
      <c r="E19" s="14"/>
      <c r="G19" s="10"/>
      <c r="H19" s="10"/>
      <c r="I19" s="14"/>
      <c r="K19" s="6" t="s">
        <v>58</v>
      </c>
      <c r="L19" s="6"/>
      <c r="M19" s="6"/>
      <c r="N19" s="6"/>
    </row>
    <row r="20" customFormat="false" ht="15" hidden="false" customHeight="false" outlineLevel="0" collapsed="false">
      <c r="A20" s="10"/>
      <c r="B20" s="11"/>
      <c r="C20" s="10"/>
      <c r="D20" s="10"/>
      <c r="E20" s="14"/>
      <c r="G20" s="10"/>
      <c r="H20" s="10"/>
      <c r="I20" s="14"/>
      <c r="K20" s="6" t="s">
        <v>59</v>
      </c>
      <c r="L20" s="6" t="s">
        <v>31</v>
      </c>
      <c r="M20" s="6" t="s">
        <v>60</v>
      </c>
      <c r="N20" s="6" t="s">
        <v>61</v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G21" s="10"/>
      <c r="H21" s="10"/>
      <c r="I21" s="14"/>
      <c r="K21" s="10"/>
      <c r="L21" s="14"/>
      <c r="M21" s="11"/>
      <c r="N21" s="10"/>
    </row>
    <row r="22" customFormat="false" ht="15" hidden="false" customHeight="false" outlineLevel="0" collapsed="false">
      <c r="A22" s="10"/>
      <c r="B22" s="11"/>
      <c r="C22" s="10"/>
      <c r="D22" s="10"/>
      <c r="E22" s="14"/>
      <c r="G22" s="10"/>
      <c r="H22" s="10"/>
      <c r="I22" s="14"/>
      <c r="K22" s="10"/>
      <c r="L22" s="14"/>
      <c r="M22" s="11"/>
      <c r="N22" s="10"/>
    </row>
    <row r="23" customFormat="false" ht="15" hidden="false" customHeight="false" outlineLevel="0" collapsed="false">
      <c r="A23" s="10"/>
      <c r="B23" s="11"/>
      <c r="C23" s="10"/>
      <c r="D23" s="10"/>
      <c r="E23" s="14"/>
      <c r="G23" s="10"/>
      <c r="H23" s="10"/>
      <c r="I23" s="14"/>
      <c r="K23" s="10"/>
      <c r="L23" s="14"/>
      <c r="M23" s="11"/>
      <c r="N23" s="10"/>
    </row>
    <row r="24" customFormat="false" ht="15" hidden="false" customHeight="false" outlineLevel="0" collapsed="false">
      <c r="A24" s="10"/>
      <c r="B24" s="11"/>
      <c r="C24" s="10"/>
      <c r="D24" s="10"/>
      <c r="E24" s="14"/>
      <c r="K24" s="10"/>
      <c r="L24" s="14"/>
      <c r="M24" s="11"/>
      <c r="N24" s="10"/>
    </row>
    <row r="25" customFormat="false" ht="15" hidden="false" customHeight="true" outlineLevel="0" collapsed="false">
      <c r="A25" s="10"/>
      <c r="B25" s="11"/>
      <c r="C25" s="10"/>
      <c r="D25" s="10"/>
      <c r="E25" s="14"/>
      <c r="G25" s="6" t="s">
        <v>62</v>
      </c>
      <c r="H25" s="6"/>
      <c r="I25" s="6"/>
      <c r="K25" s="10"/>
      <c r="L25" s="14"/>
      <c r="M25" s="11"/>
      <c r="N25" s="10"/>
    </row>
    <row r="26" customFormat="false" ht="15" hidden="false" customHeight="true" outlineLevel="0" collapsed="false">
      <c r="A26" s="10"/>
      <c r="B26" s="11"/>
      <c r="C26" s="10"/>
      <c r="D26" s="10"/>
      <c r="E26" s="14"/>
      <c r="G26" s="31" t="s">
        <v>63</v>
      </c>
      <c r="H26" s="31"/>
      <c r="I26" s="14"/>
      <c r="K26" s="10"/>
      <c r="L26" s="14"/>
      <c r="M26" s="11"/>
      <c r="N26" s="10"/>
    </row>
    <row r="27" customFormat="false" ht="15" hidden="false" customHeight="true" outlineLevel="0" collapsed="false">
      <c r="A27" s="10"/>
      <c r="B27" s="11"/>
      <c r="C27" s="10"/>
      <c r="D27" s="10"/>
      <c r="E27" s="14"/>
      <c r="G27" s="31" t="s">
        <v>64</v>
      </c>
      <c r="H27" s="31"/>
      <c r="I27" s="14"/>
      <c r="K27" s="10"/>
      <c r="L27" s="14"/>
      <c r="M27" s="11"/>
      <c r="N27" s="10"/>
    </row>
    <row r="28" customFormat="false" ht="15" hidden="false" customHeight="true" outlineLevel="0" collapsed="false">
      <c r="A28" s="10"/>
      <c r="B28" s="11"/>
      <c r="C28" s="10"/>
      <c r="D28" s="10"/>
      <c r="E28" s="14"/>
      <c r="G28" s="32" t="s">
        <v>57</v>
      </c>
      <c r="H28" s="32"/>
      <c r="I28" s="9" t="n">
        <f aca="false">SUM(I26:I27)</f>
        <v>0</v>
      </c>
      <c r="K28" s="10"/>
      <c r="L28" s="14"/>
      <c r="M28" s="11"/>
      <c r="N28" s="10"/>
    </row>
    <row r="29" customFormat="false" ht="15" hidden="false" customHeight="false" outlineLevel="0" collapsed="false">
      <c r="A29" s="10"/>
      <c r="B29" s="11"/>
      <c r="C29" s="10"/>
      <c r="D29" s="10"/>
      <c r="E29" s="14"/>
      <c r="K29" s="10"/>
      <c r="L29" s="14"/>
      <c r="M29" s="11"/>
      <c r="N29" s="10"/>
    </row>
    <row r="30" customFormat="false" ht="15" hidden="false" customHeight="true" outlineLevel="0" collapsed="false">
      <c r="A30" s="10"/>
      <c r="B30" s="11"/>
      <c r="C30" s="10"/>
      <c r="D30" s="10"/>
      <c r="E30" s="14"/>
      <c r="G30" s="6" t="s">
        <v>65</v>
      </c>
      <c r="H30" s="6"/>
      <c r="I30" s="6"/>
      <c r="K30" s="10"/>
      <c r="L30" s="14"/>
      <c r="M30" s="11"/>
      <c r="N30" s="10"/>
    </row>
    <row r="31" customFormat="false" ht="15" hidden="false" customHeight="true" outlineLevel="0" collapsed="false">
      <c r="A31" s="10"/>
      <c r="B31" s="11"/>
      <c r="C31" s="10"/>
      <c r="D31" s="10"/>
      <c r="E31" s="14"/>
      <c r="G31" s="12" t="s">
        <v>36</v>
      </c>
      <c r="H31" s="12"/>
      <c r="I31" s="14" t="n">
        <f aca="false">SUMIF($C$5:$C$64,$G31,$E$5:$E$64)+SUMIF($G$5:$G$12,$G31,$I$5:$I$12)+SUMIF($G$16:$G$23,$G31,$I$16:$I$23)</f>
        <v>0</v>
      </c>
    </row>
    <row r="32" customFormat="false" ht="15" hidden="false" customHeight="true" outlineLevel="0" collapsed="false">
      <c r="A32" s="10"/>
      <c r="B32" s="11"/>
      <c r="C32" s="10"/>
      <c r="D32" s="10"/>
      <c r="E32" s="14"/>
      <c r="G32" s="17" t="s">
        <v>40</v>
      </c>
      <c r="H32" s="17"/>
      <c r="I32" s="14" t="n">
        <f aca="false">SUMIF($C$5:$C$64,$G32,$E$5:$E$64)+SUMIF($G$5:$G$12,$G32,$I$5:$I$12)+SUMIF($G$16:$G$23,$G32,$I$16:$I$23)</f>
        <v>0</v>
      </c>
      <c r="K32" s="6" t="s">
        <v>66</v>
      </c>
      <c r="L32" s="6"/>
      <c r="M32" s="6"/>
      <c r="N32" s="6"/>
    </row>
    <row r="33" customFormat="false" ht="15" hidden="false" customHeight="true" outlineLevel="0" collapsed="false">
      <c r="A33" s="10"/>
      <c r="B33" s="11"/>
      <c r="C33" s="10"/>
      <c r="D33" s="10"/>
      <c r="E33" s="14"/>
      <c r="G33" s="18" t="s">
        <v>42</v>
      </c>
      <c r="H33" s="18"/>
      <c r="I33" s="14" t="n">
        <f aca="false">SUMIF($C$5:$C$64,$G33,$E$5:$E$64)+SUMIF($G$5:$G$12,$G33,$I$5:$I$12)+SUMIF($G$16:$G$23,$G33,$I$16:$I$23)</f>
        <v>0</v>
      </c>
      <c r="K33" s="31" t="s">
        <v>67</v>
      </c>
      <c r="L33" s="31"/>
      <c r="M33" s="31"/>
      <c r="N33" s="33" t="n">
        <f aca="false">COUNT($E$5:$E$64)</f>
        <v>0</v>
      </c>
    </row>
    <row r="34" customFormat="false" ht="15" hidden="false" customHeight="true" outlineLevel="0" collapsed="false">
      <c r="A34" s="10"/>
      <c r="B34" s="11"/>
      <c r="C34" s="10"/>
      <c r="D34" s="10"/>
      <c r="E34" s="14"/>
      <c r="G34" s="23" t="s">
        <v>49</v>
      </c>
      <c r="H34" s="23"/>
      <c r="I34" s="14" t="n">
        <f aca="false">SUMIF($C$5:$C$64,$G34,$E$5:$E$64)+SUMIF($G$5:$G$12,$G34,$I$5:$I$12)+SUMIF($G$16:$G$23,$G34,$I$16:$I$23)</f>
        <v>0</v>
      </c>
      <c r="K34" s="31" t="s">
        <v>68</v>
      </c>
      <c r="L34" s="31"/>
      <c r="M34" s="31"/>
      <c r="N34" s="14" t="n">
        <f aca="false">IF(COUNT($E$5:$E$64)=0,0,MAX($E$5:$E$64))</f>
        <v>0</v>
      </c>
    </row>
    <row r="35" customFormat="false" ht="15" hidden="false" customHeight="true" outlineLevel="0" collapsed="false">
      <c r="A35" s="10"/>
      <c r="B35" s="11"/>
      <c r="C35" s="10"/>
      <c r="D35" s="10"/>
      <c r="E35" s="14"/>
      <c r="G35" s="34" t="s">
        <v>69</v>
      </c>
      <c r="H35" s="34"/>
      <c r="I35" s="14" t="n">
        <f aca="false">SUMIF($C$5:$C$64,$G35,$E$5:$E$64)+SUMIF($G$5:$G$12,$G35,$I$5:$I$12)+SUMIF($G$16:$G$23,$G35,$I$16:$I$23)</f>
        <v>0</v>
      </c>
      <c r="K35" s="31" t="s">
        <v>70</v>
      </c>
      <c r="L35" s="31"/>
      <c r="M35" s="31"/>
      <c r="N35" s="33" t="str">
        <f aca="false">IF($E$3=0,"—",INDEX($A$5:$A$64,MATCH(MAX($E$5:$E$64),$E$5:$E$64,0)))</f>
        <v>—</v>
      </c>
    </row>
    <row r="36" customFormat="false" ht="15" hidden="false" customHeight="true" outlineLevel="0" collapsed="false">
      <c r="A36" s="10"/>
      <c r="B36" s="11"/>
      <c r="C36" s="10"/>
      <c r="D36" s="10"/>
      <c r="E36" s="14"/>
      <c r="G36" s="28" t="s">
        <v>56</v>
      </c>
      <c r="H36" s="28"/>
      <c r="I36" s="14" t="n">
        <f aca="false">SUMIF($C$5:$C$64,$G36,$E$5:$E$64)+SUMIF($G$5:$G$12,$G36,$I$5:$I$12)+SUMIF($G$16:$G$23,$G36,$I$16:$I$23)</f>
        <v>0</v>
      </c>
      <c r="K36" s="31" t="s">
        <v>71</v>
      </c>
      <c r="L36" s="31"/>
      <c r="M36" s="31"/>
      <c r="N36" s="33" t="str">
        <f aca="false">IF($E$3=0,"—",INDEX($K$5:$K$16,MATCH(MAX($M$5:$M$16),$M$5:$M$16,0)))</f>
        <v>—</v>
      </c>
    </row>
    <row r="37" customFormat="false" ht="15" hidden="false" customHeight="true" outlineLevel="0" collapsed="false">
      <c r="A37" s="10"/>
      <c r="B37" s="11"/>
      <c r="C37" s="10"/>
      <c r="D37" s="10"/>
      <c r="E37" s="14"/>
      <c r="G37" s="10" t="s">
        <v>72</v>
      </c>
      <c r="H37" s="10"/>
      <c r="I37" s="14"/>
      <c r="K37" s="31" t="s">
        <v>73</v>
      </c>
      <c r="L37" s="31"/>
      <c r="M37" s="31"/>
      <c r="N37" s="14" t="n">
        <f aca="false">IFERROR(AVERAGE($E$5:$E$64),0)</f>
        <v>0</v>
      </c>
    </row>
    <row r="38" customFormat="false" ht="15" hidden="false" customHeight="true" outlineLevel="0" collapsed="false">
      <c r="A38" s="10"/>
      <c r="B38" s="11"/>
      <c r="C38" s="10"/>
      <c r="D38" s="10"/>
      <c r="E38" s="14"/>
      <c r="G38" s="10" t="s">
        <v>74</v>
      </c>
      <c r="H38" s="10"/>
      <c r="I38" s="14"/>
      <c r="K38" s="31" t="s">
        <v>75</v>
      </c>
      <c r="L38" s="31"/>
      <c r="M38" s="31"/>
      <c r="N38" s="14" t="n">
        <f aca="false">IFERROR($E$3/DAY(EOMONTH(DATE(2026,7,1),0)),0)</f>
        <v>0</v>
      </c>
    </row>
    <row r="39" customFormat="false" ht="15" hidden="false" customHeight="true" outlineLevel="0" collapsed="false">
      <c r="A39" s="10"/>
      <c r="B39" s="11"/>
      <c r="C39" s="10"/>
      <c r="D39" s="10"/>
      <c r="E39" s="14"/>
      <c r="G39" s="29" t="s">
        <v>76</v>
      </c>
      <c r="H39" s="29"/>
      <c r="I39" s="9" t="n">
        <f aca="false">SUM(I31:I38)</f>
        <v>0</v>
      </c>
      <c r="K39" s="31" t="s">
        <v>77</v>
      </c>
      <c r="L39" s="31"/>
      <c r="M39" s="31"/>
      <c r="N39" s="16" t="n">
        <f aca="false">IFERROR($I$39/$I$28,0)</f>
        <v>0</v>
      </c>
    </row>
    <row r="40" customFormat="false" ht="15" hidden="false" customHeight="false" outlineLevel="0" collapsed="false">
      <c r="A40" s="10"/>
      <c r="B40" s="11"/>
      <c r="C40" s="10"/>
      <c r="D40" s="10"/>
      <c r="E40" s="14"/>
    </row>
    <row r="41" customFormat="false" ht="15" hidden="false" customHeight="true" outlineLevel="0" collapsed="false">
      <c r="A41" s="10"/>
      <c r="B41" s="11"/>
      <c r="C41" s="10"/>
      <c r="D41" s="10"/>
      <c r="E41" s="14"/>
      <c r="G41" s="6" t="s">
        <v>78</v>
      </c>
      <c r="H41" s="6"/>
      <c r="I41" s="6"/>
    </row>
    <row r="42" customFormat="false" ht="15" hidden="false" customHeight="true" outlineLevel="0" collapsed="false">
      <c r="A42" s="10"/>
      <c r="B42" s="11"/>
      <c r="C42" s="10"/>
      <c r="D42" s="10"/>
      <c r="E42" s="14"/>
      <c r="G42" s="10" t="s">
        <v>72</v>
      </c>
      <c r="H42" s="10"/>
      <c r="I42" s="14"/>
    </row>
    <row r="43" customFormat="false" ht="15" hidden="false" customHeight="true" outlineLevel="0" collapsed="false">
      <c r="A43" s="10"/>
      <c r="B43" s="11"/>
      <c r="C43" s="10"/>
      <c r="D43" s="10"/>
      <c r="E43" s="14"/>
      <c r="G43" s="10" t="s">
        <v>79</v>
      </c>
      <c r="H43" s="10"/>
      <c r="I43" s="14"/>
    </row>
    <row r="44" customFormat="false" ht="15" hidden="false" customHeight="true" outlineLevel="0" collapsed="false">
      <c r="A44" s="10"/>
      <c r="B44" s="11"/>
      <c r="C44" s="10"/>
      <c r="D44" s="10"/>
      <c r="E44" s="14"/>
      <c r="G44" s="29" t="s">
        <v>57</v>
      </c>
      <c r="H44" s="29"/>
      <c r="I44" s="9" t="n">
        <f aca="false">SUM(I42:I43)</f>
        <v>0</v>
      </c>
    </row>
    <row r="45" customFormat="false" ht="15" hidden="false" customHeight="false" outlineLevel="0" collapsed="false">
      <c r="A45" s="10"/>
      <c r="B45" s="11"/>
      <c r="C45" s="10"/>
      <c r="D45" s="10"/>
      <c r="E45" s="14"/>
    </row>
    <row r="46" customFormat="false" ht="15" hidden="false" customHeight="true" outlineLevel="0" collapsed="false">
      <c r="A46" s="10"/>
      <c r="B46" s="11"/>
      <c r="C46" s="10"/>
      <c r="D46" s="10"/>
      <c r="E46" s="14"/>
      <c r="G46" s="6" t="s">
        <v>80</v>
      </c>
      <c r="H46" s="6"/>
      <c r="I46" s="6"/>
    </row>
    <row r="47" customFormat="false" ht="31.5" hidden="false" customHeight="true" outlineLevel="0" collapsed="false">
      <c r="A47" s="10"/>
      <c r="B47" s="11"/>
      <c r="C47" s="10"/>
      <c r="D47" s="10"/>
      <c r="E47" s="14"/>
      <c r="G47" s="35" t="n">
        <f aca="false">I28-I39</f>
        <v>0</v>
      </c>
      <c r="H47" s="35"/>
      <c r="I47" s="35"/>
    </row>
    <row r="48" customFormat="false" ht="15" hidden="false" customHeight="false" outlineLevel="0" collapsed="false">
      <c r="A48" s="10"/>
      <c r="B48" s="11"/>
      <c r="C48" s="10"/>
      <c r="D48" s="10"/>
      <c r="E48" s="14"/>
    </row>
    <row r="49" customFormat="false" ht="15" hidden="false" customHeight="false" outlineLevel="0" collapsed="false">
      <c r="A49" s="10"/>
      <c r="B49" s="11"/>
      <c r="C49" s="10"/>
      <c r="D49" s="10"/>
      <c r="E49" s="14"/>
    </row>
    <row r="50" customFormat="false" ht="15" hidden="false" customHeight="false" outlineLevel="0" collapsed="false">
      <c r="A50" s="10"/>
      <c r="B50" s="11"/>
      <c r="C50" s="10"/>
      <c r="D50" s="10"/>
      <c r="E50" s="14"/>
    </row>
    <row r="51" customFormat="false" ht="15" hidden="false" customHeight="false" outlineLevel="0" collapsed="false">
      <c r="A51" s="10"/>
      <c r="B51" s="11"/>
      <c r="C51" s="10"/>
      <c r="D51" s="10"/>
      <c r="E51" s="14"/>
    </row>
    <row r="52" customFormat="false" ht="15" hidden="false" customHeight="false" outlineLevel="0" collapsed="false">
      <c r="A52" s="10"/>
      <c r="B52" s="11"/>
      <c r="C52" s="10"/>
      <c r="D52" s="10"/>
      <c r="E52" s="14"/>
    </row>
    <row r="53" customFormat="false" ht="15" hidden="false" customHeight="false" outlineLevel="0" collapsed="false">
      <c r="A53" s="10"/>
      <c r="B53" s="11"/>
      <c r="C53" s="10"/>
      <c r="D53" s="10"/>
      <c r="E53" s="14"/>
    </row>
    <row r="54" customFormat="false" ht="15" hidden="false" customHeight="false" outlineLevel="0" collapsed="false">
      <c r="A54" s="10"/>
      <c r="B54" s="11"/>
      <c r="C54" s="10"/>
      <c r="D54" s="10"/>
      <c r="E54" s="14"/>
    </row>
    <row r="55" customFormat="false" ht="15" hidden="false" customHeight="false" outlineLevel="0" collapsed="false">
      <c r="A55" s="10"/>
      <c r="B55" s="11"/>
      <c r="C55" s="10"/>
      <c r="D55" s="10"/>
      <c r="E55" s="14"/>
    </row>
    <row r="56" customFormat="false" ht="15" hidden="false" customHeight="false" outlineLevel="0" collapsed="false">
      <c r="A56" s="10"/>
      <c r="B56" s="11"/>
      <c r="C56" s="10"/>
      <c r="D56" s="10"/>
      <c r="E56" s="14"/>
    </row>
    <row r="57" customFormat="false" ht="15" hidden="false" customHeight="false" outlineLevel="0" collapsed="false">
      <c r="A57" s="10"/>
      <c r="B57" s="11"/>
      <c r="C57" s="10"/>
      <c r="D57" s="10"/>
      <c r="E57" s="14"/>
    </row>
    <row r="58" customFormat="false" ht="15" hidden="false" customHeight="false" outlineLevel="0" collapsed="false">
      <c r="A58" s="10"/>
      <c r="B58" s="11"/>
      <c r="C58" s="10"/>
      <c r="D58" s="10"/>
      <c r="E58" s="14"/>
    </row>
    <row r="59" customFormat="false" ht="15" hidden="false" customHeight="false" outlineLevel="0" collapsed="false">
      <c r="A59" s="10"/>
      <c r="B59" s="11"/>
      <c r="C59" s="10"/>
      <c r="D59" s="10"/>
      <c r="E59" s="14"/>
    </row>
    <row r="60" customFormat="false" ht="15" hidden="false" customHeight="false" outlineLevel="0" collapsed="false">
      <c r="A60" s="10"/>
      <c r="B60" s="11"/>
      <c r="C60" s="10"/>
      <c r="D60" s="10"/>
      <c r="E60" s="14"/>
    </row>
    <row r="61" customFormat="false" ht="15" hidden="false" customHeight="false" outlineLevel="0" collapsed="false">
      <c r="A61" s="10"/>
      <c r="B61" s="11"/>
      <c r="C61" s="10"/>
      <c r="D61" s="10"/>
      <c r="E61" s="14"/>
    </row>
    <row r="62" customFormat="false" ht="15" hidden="false" customHeight="false" outlineLevel="0" collapsed="false">
      <c r="A62" s="10"/>
      <c r="B62" s="11"/>
      <c r="C62" s="10"/>
      <c r="D62" s="10"/>
      <c r="E62" s="14"/>
    </row>
    <row r="63" customFormat="false" ht="15" hidden="false" customHeight="false" outlineLevel="0" collapsed="false">
      <c r="A63" s="10"/>
      <c r="B63" s="11"/>
      <c r="C63" s="10"/>
      <c r="D63" s="10"/>
      <c r="E63" s="14"/>
    </row>
    <row r="64" customFormat="false" ht="15" hidden="false" customHeight="false" outlineLevel="0" collapsed="false">
      <c r="A64" s="10"/>
      <c r="B64" s="11"/>
      <c r="C64" s="10"/>
      <c r="D64" s="10"/>
      <c r="E64" s="14"/>
    </row>
  </sheetData>
  <mergeCells count="34">
    <mergeCell ref="A1:N1"/>
    <mergeCell ref="A3:C3"/>
    <mergeCell ref="G3:H3"/>
    <mergeCell ref="K3:N3"/>
    <mergeCell ref="G14:H14"/>
    <mergeCell ref="K19:N19"/>
    <mergeCell ref="G25:I25"/>
    <mergeCell ref="G26:H26"/>
    <mergeCell ref="G27:H27"/>
    <mergeCell ref="G28:H28"/>
    <mergeCell ref="G30:I30"/>
    <mergeCell ref="G31:H31"/>
    <mergeCell ref="G32:H32"/>
    <mergeCell ref="K32:N32"/>
    <mergeCell ref="G33:H33"/>
    <mergeCell ref="K33:M33"/>
    <mergeCell ref="G34:H34"/>
    <mergeCell ref="K34:M34"/>
    <mergeCell ref="G35:H35"/>
    <mergeCell ref="K35:M35"/>
    <mergeCell ref="G36:H36"/>
    <mergeCell ref="K36:M36"/>
    <mergeCell ref="G37:H37"/>
    <mergeCell ref="K37:M37"/>
    <mergeCell ref="G38:H38"/>
    <mergeCell ref="K38:M38"/>
    <mergeCell ref="G39:H39"/>
    <mergeCell ref="K39:M39"/>
    <mergeCell ref="G41:I41"/>
    <mergeCell ref="G42:H42"/>
    <mergeCell ref="G43:H43"/>
    <mergeCell ref="G44:H44"/>
    <mergeCell ref="G46:I46"/>
    <mergeCell ref="G47:I47"/>
  </mergeCells>
  <conditionalFormatting sqref="C5:C64">
    <cfRule type="containsText" priority="2" operator="containsText" aboveAverage="0" equalAverage="0" bottom="0" percent="0" rank="0" text="Débito" dxfId="0">
      <formula>NOT(ISERROR(SEARCH("Débito",C5)))</formula>
    </cfRule>
    <cfRule type="containsText" priority="3" operator="containsText" aboveAverage="0" equalAverage="0" bottom="0" percent="0" rank="0" text="Crédito" dxfId="1">
      <formula>NOT(ISERROR(SEARCH("Crédito",C5)))</formula>
    </cfRule>
    <cfRule type="containsText" priority="4" operator="containsText" aboveAverage="0" equalAverage="0" bottom="0" percent="0" rank="0" text="Pix" dxfId="2">
      <formula>NOT(ISERROR(SEARCH("Pix",C5)))</formula>
    </cfRule>
    <cfRule type="containsText" priority="5" operator="containsText" aboveAverage="0" equalAverage="0" bottom="0" percent="0" rank="0" text="Dinheiro" dxfId="3">
      <formula>NOT(ISERROR(SEARCH("Dinheiro",C5)))</formula>
    </cfRule>
    <cfRule type="containsText" priority="6" operator="containsText" aboveAverage="0" equalAverage="0" bottom="0" percent="0" rank="0" text="Voucher" dxfId="4">
      <formula>NOT(ISERROR(SEARCH("Voucher",C5)))</formula>
    </cfRule>
    <cfRule type="containsText" priority="7" operator="containsText" aboveAverage="0" equalAverage="0" bottom="0" percent="0" rank="0" text="Outros" dxfId="5">
      <formula>NOT(ISERROR(SEARCH("Outros",C5)))</formula>
    </cfRule>
  </conditionalFormatting>
  <conditionalFormatting sqref="D5:D64">
    <cfRule type="containsText" priority="8" operator="containsText" aboveAverage="0" equalAverage="0" bottom="0" percent="0" rank="0" text="Mercado" dxfId="6">
      <formula>NOT(ISERROR(SEARCH("Mercado",D5)))</formula>
    </cfRule>
    <cfRule type="containsText" priority="9" operator="containsText" aboveAverage="0" equalAverage="0" bottom="0" percent="0" rank="0" text="Alimentação" dxfId="7">
      <formula>NOT(ISERROR(SEARCH("Alimentação",D5)))</formula>
    </cfRule>
    <cfRule type="containsText" priority="10" operator="containsText" aboveAverage="0" equalAverage="0" bottom="0" percent="0" rank="0" text="Farmácia" dxfId="8">
      <formula>NOT(ISERROR(SEARCH("Farmácia",D5)))</formula>
    </cfRule>
    <cfRule type="containsText" priority="11" operator="containsText" aboveAverage="0" equalAverage="0" bottom="0" percent="0" rank="0" text="Combustível" dxfId="9">
      <formula>NOT(ISERROR(SEARCH("Combustível",D5)))</formula>
    </cfRule>
    <cfRule type="containsText" priority="12" operator="containsText" aboveAverage="0" equalAverage="0" bottom="0" percent="0" rank="0" text="Transporte" dxfId="10">
      <formula>NOT(ISERROR(SEARCH("Transporte",D5)))</formula>
    </cfRule>
    <cfRule type="containsText" priority="13" operator="containsText" aboveAverage="0" equalAverage="0" bottom="0" percent="0" rank="0" text="Vestuário" dxfId="1">
      <formula>NOT(ISERROR(SEARCH("Vestuário",D5)))</formula>
    </cfRule>
    <cfRule type="containsText" priority="14" operator="containsText" aboveAverage="0" equalAverage="0" bottom="0" percent="0" rank="0" text="Eletrônicos" dxfId="11">
      <formula>NOT(ISERROR(SEARCH("Eletrônicos",D5)))</formula>
    </cfRule>
    <cfRule type="containsText" priority="15" operator="containsText" aboveAverage="0" equalAverage="0" bottom="0" percent="0" rank="0" text="Casa" dxfId="12">
      <formula>NOT(ISERROR(SEARCH("Casa",D5)))</formula>
    </cfRule>
    <cfRule type="containsText" priority="16" operator="containsText" aboveAverage="0" equalAverage="0" bottom="0" percent="0" rank="0" text="Saúde" dxfId="13">
      <formula>NOT(ISERROR(SEARCH("Saúde",D5)))</formula>
    </cfRule>
    <cfRule type="containsText" priority="17" operator="containsText" aboveAverage="0" equalAverage="0" bottom="0" percent="0" rank="0" text="Lazer" dxfId="14">
      <formula>NOT(ISERROR(SEARCH("Lazer",D5)))</formula>
    </cfRule>
    <cfRule type="containsText" priority="18" operator="containsText" aboveAverage="0" equalAverage="0" bottom="0" percent="0" rank="0" text="Serviços" dxfId="15">
      <formula>NOT(ISERROR(SEARCH("Serviços",D5)))</formula>
    </cfRule>
    <cfRule type="containsText" priority="19" operator="containsText" aboveAverage="0" equalAverage="0" bottom="0" percent="0" rank="0" text="Outros" dxfId="5">
      <formula>NOT(ISERROR(SEARCH("Outros",D5)))</formula>
    </cfRule>
  </conditionalFormatting>
  <dataValidations count="3">
    <dataValidation allowBlank="true" errorStyle="stop" operator="between" showDropDown="false" showErrorMessage="false" showInputMessage="false" sqref="D5:D24 H5:H12 H16:H23 D25:D64" type="list">
      <formula1>"Alimentação,Mercado,Farmácia,Combustível,Transporte,Vestuário,Eletrônicos,Casa,Saúde,Lazer,Serviços,Outros"</formula1>
      <formula2>0</formula2>
    </dataValidation>
    <dataValidation allowBlank="true" errorStyle="stop" operator="between" showDropDown="false" showErrorMessage="false" showInputMessage="false" sqref="C5:C24 G5:G12 G16:G23 C25:C64" type="list">
      <formula1>"Débito,Crédito,Pix,Dinheiro,Voucher,Outros"</formula1>
      <formula2>0</formula2>
    </dataValidation>
    <dataValidation allowBlank="true" errorStyle="stop" operator="between" showDropDown="false" showErrorMessage="false" showInputMessage="false" sqref="N21:N3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88A89"/>
    <pageSetUpPr fitToPage="false"/>
  </sheetPr>
  <dimension ref="A1:N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2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2"/>
    <col collapsed="false" customWidth="true" hidden="false" outlineLevel="0" max="11" min="11" style="0" width="17"/>
    <col collapsed="false" customWidth="true" hidden="false" outlineLevel="0" max="12" min="12" style="0" width="13"/>
    <col collapsed="false" customWidth="true" hidden="false" outlineLevel="0" max="14" min="13" style="0" width="12"/>
    <col collapsed="false" customWidth="true" hidden="false" outlineLevel="0" max="15" min="15" style="0" width="2"/>
  </cols>
  <sheetData>
    <row r="1" customFormat="false" ht="33.75" hidden="false" customHeight="true" outlineLevel="0" collapsed="false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9.7" hidden="false" customHeight="true" outlineLevel="0" collapsed="false">
      <c r="A3" s="6" t="s">
        <v>23</v>
      </c>
      <c r="B3" s="6"/>
      <c r="C3" s="6"/>
      <c r="D3" s="7" t="s">
        <v>24</v>
      </c>
      <c r="E3" s="8" t="n">
        <f aca="false">SUM(E5:E64)</f>
        <v>0</v>
      </c>
      <c r="G3" s="6" t="s">
        <v>25</v>
      </c>
      <c r="H3" s="6"/>
      <c r="I3" s="9" t="n">
        <f aca="false">SUM(I5:I12)</f>
        <v>0</v>
      </c>
      <c r="K3" s="6" t="s">
        <v>26</v>
      </c>
      <c r="L3" s="6"/>
      <c r="M3" s="6"/>
      <c r="N3" s="6"/>
    </row>
    <row r="4" customFormat="false" ht="15" hidden="false" customHeight="false" outlineLevel="0" collapsed="false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G4" s="6" t="s">
        <v>29</v>
      </c>
      <c r="H4" s="6" t="s">
        <v>30</v>
      </c>
      <c r="I4" s="6" t="s">
        <v>31</v>
      </c>
      <c r="K4" s="6" t="s">
        <v>30</v>
      </c>
      <c r="L4" s="6" t="s">
        <v>32</v>
      </c>
      <c r="M4" s="6" t="s">
        <v>33</v>
      </c>
      <c r="N4" s="6" t="s">
        <v>34</v>
      </c>
    </row>
    <row r="5" customFormat="false" ht="15" hidden="false" customHeight="false" outlineLevel="0" collapsed="false">
      <c r="A5" s="10"/>
      <c r="B5" s="11"/>
      <c r="C5" s="10"/>
      <c r="D5" s="10"/>
      <c r="E5" s="14"/>
      <c r="G5" s="10"/>
      <c r="H5" s="10"/>
      <c r="I5" s="14"/>
      <c r="K5" s="15" t="s">
        <v>38</v>
      </c>
      <c r="L5" s="14"/>
      <c r="M5" s="14" t="n">
        <f aca="false">SUMIF($D$5:$D$64,$K5,$E$5:$E$64)</f>
        <v>0</v>
      </c>
      <c r="N5" s="16" t="n">
        <f aca="false">IFERROR(M5/$E$3,0)</f>
        <v>0</v>
      </c>
    </row>
    <row r="6" customFormat="false" ht="15" hidden="false" customHeight="false" outlineLevel="0" collapsed="false">
      <c r="A6" s="10"/>
      <c r="B6" s="11"/>
      <c r="C6" s="10"/>
      <c r="D6" s="10"/>
      <c r="E6" s="14"/>
      <c r="G6" s="10"/>
      <c r="H6" s="10"/>
      <c r="I6" s="14"/>
      <c r="K6" s="13" t="s">
        <v>37</v>
      </c>
      <c r="L6" s="14"/>
      <c r="M6" s="14" t="n">
        <f aca="false">SUMIF($D$5:$D$64,$K6,$E$5:$E$64)</f>
        <v>0</v>
      </c>
      <c r="N6" s="16" t="n">
        <f aca="false">IFERROR(M6/$E$3,0)</f>
        <v>0</v>
      </c>
    </row>
    <row r="7" customFormat="false" ht="15" hidden="false" customHeight="false" outlineLevel="0" collapsed="false">
      <c r="A7" s="10"/>
      <c r="B7" s="11"/>
      <c r="C7" s="10"/>
      <c r="D7" s="10"/>
      <c r="E7" s="14"/>
      <c r="G7" s="10"/>
      <c r="H7" s="10"/>
      <c r="I7" s="14"/>
      <c r="K7" s="20" t="s">
        <v>44</v>
      </c>
      <c r="L7" s="14"/>
      <c r="M7" s="14" t="n">
        <f aca="false">SUMIF($D$5:$D$64,$K7,$E$5:$E$64)</f>
        <v>0</v>
      </c>
      <c r="N7" s="16" t="n">
        <f aca="false">IFERROR(M7/$E$3,0)</f>
        <v>0</v>
      </c>
    </row>
    <row r="8" customFormat="false" ht="15" hidden="false" customHeight="false" outlineLevel="0" collapsed="false">
      <c r="A8" s="10"/>
      <c r="B8" s="11"/>
      <c r="C8" s="10"/>
      <c r="D8" s="10"/>
      <c r="E8" s="14"/>
      <c r="G8" s="10"/>
      <c r="H8" s="10"/>
      <c r="I8" s="14"/>
      <c r="K8" s="22" t="s">
        <v>47</v>
      </c>
      <c r="L8" s="14"/>
      <c r="M8" s="14" t="n">
        <f aca="false">SUMIF($D$5:$D$64,$K8,$E$5:$E$64)</f>
        <v>0</v>
      </c>
      <c r="N8" s="16" t="n">
        <f aca="false">IFERROR(M8/$E$3,0)</f>
        <v>0</v>
      </c>
    </row>
    <row r="9" customFormat="false" ht="15" hidden="false" customHeight="false" outlineLevel="0" collapsed="false">
      <c r="A9" s="10"/>
      <c r="B9" s="11"/>
      <c r="C9" s="10"/>
      <c r="D9" s="10"/>
      <c r="E9" s="14"/>
      <c r="G9" s="10"/>
      <c r="H9" s="10"/>
      <c r="I9" s="14"/>
      <c r="K9" s="19" t="s">
        <v>43</v>
      </c>
      <c r="L9" s="14"/>
      <c r="M9" s="14" t="n">
        <f aca="false">SUMIF($D$5:$D$64,$K9,$E$5:$E$64)</f>
        <v>0</v>
      </c>
      <c r="N9" s="16" t="n">
        <f aca="false">IFERROR(M9/$E$3,0)</f>
        <v>0</v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G10" s="10"/>
      <c r="H10" s="10"/>
      <c r="I10" s="14"/>
      <c r="K10" s="17" t="s">
        <v>50</v>
      </c>
      <c r="L10" s="14"/>
      <c r="M10" s="14" t="n">
        <f aca="false">SUMIF($D$5:$D$64,$K10,$E$5:$E$64)</f>
        <v>0</v>
      </c>
      <c r="N10" s="16" t="n">
        <f aca="false">IFERROR(M10/$E$3,0)</f>
        <v>0</v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G11" s="10"/>
      <c r="H11" s="10"/>
      <c r="I11" s="14"/>
      <c r="K11" s="24" t="s">
        <v>51</v>
      </c>
      <c r="L11" s="14"/>
      <c r="M11" s="14" t="n">
        <f aca="false">SUMIF($D$5:$D$64,$K11,$E$5:$E$64)</f>
        <v>0</v>
      </c>
      <c r="N11" s="16" t="n">
        <f aca="false">IFERROR(M11/$E$3,0)</f>
        <v>0</v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G12" s="10"/>
      <c r="H12" s="10"/>
      <c r="I12" s="14"/>
      <c r="K12" s="21" t="s">
        <v>46</v>
      </c>
      <c r="L12" s="14"/>
      <c r="M12" s="14" t="n">
        <f aca="false">SUMIF($D$5:$D$64,$K12,$E$5:$E$64)</f>
        <v>0</v>
      </c>
      <c r="N12" s="16" t="n">
        <f aca="false">IFERROR(M12/$E$3,0)</f>
        <v>0</v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K13" s="25" t="s">
        <v>52</v>
      </c>
      <c r="L13" s="14"/>
      <c r="M13" s="14" t="n">
        <f aca="false">SUMIF($D$5:$D$64,$K13,$E$5:$E$64)</f>
        <v>0</v>
      </c>
      <c r="N13" s="16" t="n">
        <f aca="false">IFERROR(M13/$E$3,0)</f>
        <v>0</v>
      </c>
    </row>
    <row r="14" customFormat="false" ht="26.85" hidden="false" customHeight="true" outlineLevel="0" collapsed="false">
      <c r="A14" s="10"/>
      <c r="B14" s="11"/>
      <c r="C14" s="10"/>
      <c r="D14" s="10"/>
      <c r="E14" s="14"/>
      <c r="G14" s="6" t="s">
        <v>53</v>
      </c>
      <c r="H14" s="6"/>
      <c r="I14" s="9" t="n">
        <f aca="false">SUM(I16:I23)</f>
        <v>0</v>
      </c>
      <c r="K14" s="26" t="s">
        <v>54</v>
      </c>
      <c r="L14" s="14"/>
      <c r="M14" s="14" t="n">
        <f aca="false">SUMIF($D$5:$D$64,$K14,$E$5:$E$64)</f>
        <v>0</v>
      </c>
      <c r="N14" s="16" t="n">
        <f aca="false">IFERROR(M14/$E$3,0)</f>
        <v>0</v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G15" s="6" t="s">
        <v>29</v>
      </c>
      <c r="H15" s="6" t="s">
        <v>30</v>
      </c>
      <c r="I15" s="6" t="s">
        <v>31</v>
      </c>
      <c r="K15" s="27" t="s">
        <v>55</v>
      </c>
      <c r="L15" s="14"/>
      <c r="M15" s="14" t="n">
        <f aca="false">SUMIF($D$5:$D$64,$K15,$E$5:$E$64)</f>
        <v>0</v>
      </c>
      <c r="N15" s="16" t="n">
        <f aca="false">IFERROR(M15/$E$3,0)</f>
        <v>0</v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G16" s="10"/>
      <c r="H16" s="10"/>
      <c r="I16" s="14"/>
      <c r="K16" s="28" t="s">
        <v>56</v>
      </c>
      <c r="L16" s="14"/>
      <c r="M16" s="14" t="n">
        <f aca="false">SUMIF($D$5:$D$64,$K16,$E$5:$E$64)</f>
        <v>0</v>
      </c>
      <c r="N16" s="16" t="n">
        <f aca="false">IFERROR(M16/$E$3,0)</f>
        <v>0</v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G17" s="10"/>
      <c r="H17" s="10"/>
      <c r="I17" s="14"/>
      <c r="K17" s="29" t="s">
        <v>57</v>
      </c>
      <c r="L17" s="9" t="n">
        <f aca="false">SUM(L5:L16)</f>
        <v>0</v>
      </c>
      <c r="M17" s="9" t="n">
        <f aca="false">SUM(M5:M16)</f>
        <v>0</v>
      </c>
      <c r="N17" s="30" t="n">
        <f aca="false">IFERROR(M17/$E$3,0)</f>
        <v>0</v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G18" s="10"/>
      <c r="H18" s="10"/>
      <c r="I18" s="14"/>
    </row>
    <row r="19" customFormat="false" ht="15" hidden="false" customHeight="true" outlineLevel="0" collapsed="false">
      <c r="A19" s="10"/>
      <c r="B19" s="11"/>
      <c r="C19" s="10"/>
      <c r="D19" s="10"/>
      <c r="E19" s="14"/>
      <c r="G19" s="10"/>
      <c r="H19" s="10"/>
      <c r="I19" s="14"/>
      <c r="K19" s="6" t="s">
        <v>58</v>
      </c>
      <c r="L19" s="6"/>
      <c r="M19" s="6"/>
      <c r="N19" s="6"/>
    </row>
    <row r="20" customFormat="false" ht="15" hidden="false" customHeight="false" outlineLevel="0" collapsed="false">
      <c r="A20" s="10"/>
      <c r="B20" s="11"/>
      <c r="C20" s="10"/>
      <c r="D20" s="10"/>
      <c r="E20" s="14"/>
      <c r="G20" s="10"/>
      <c r="H20" s="10"/>
      <c r="I20" s="14"/>
      <c r="K20" s="6" t="s">
        <v>59</v>
      </c>
      <c r="L20" s="6" t="s">
        <v>31</v>
      </c>
      <c r="M20" s="6" t="s">
        <v>60</v>
      </c>
      <c r="N20" s="6" t="s">
        <v>61</v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G21" s="10"/>
      <c r="H21" s="10"/>
      <c r="I21" s="14"/>
      <c r="K21" s="10"/>
      <c r="L21" s="14"/>
      <c r="M21" s="11"/>
      <c r="N21" s="10"/>
    </row>
    <row r="22" customFormat="false" ht="15" hidden="false" customHeight="false" outlineLevel="0" collapsed="false">
      <c r="A22" s="10"/>
      <c r="B22" s="11"/>
      <c r="C22" s="10"/>
      <c r="D22" s="10"/>
      <c r="E22" s="14"/>
      <c r="G22" s="10"/>
      <c r="H22" s="10"/>
      <c r="I22" s="14"/>
      <c r="K22" s="10"/>
      <c r="L22" s="14"/>
      <c r="M22" s="11"/>
      <c r="N22" s="10"/>
    </row>
    <row r="23" customFormat="false" ht="15" hidden="false" customHeight="false" outlineLevel="0" collapsed="false">
      <c r="A23" s="10"/>
      <c r="B23" s="11"/>
      <c r="C23" s="10"/>
      <c r="D23" s="10"/>
      <c r="E23" s="14"/>
      <c r="G23" s="10"/>
      <c r="H23" s="10"/>
      <c r="I23" s="14"/>
      <c r="K23" s="10"/>
      <c r="L23" s="14"/>
      <c r="M23" s="11"/>
      <c r="N23" s="10"/>
    </row>
    <row r="24" customFormat="false" ht="15" hidden="false" customHeight="false" outlineLevel="0" collapsed="false">
      <c r="A24" s="10"/>
      <c r="B24" s="11"/>
      <c r="C24" s="10"/>
      <c r="D24" s="10"/>
      <c r="E24" s="14"/>
      <c r="K24" s="10"/>
      <c r="L24" s="14"/>
      <c r="M24" s="11"/>
      <c r="N24" s="10"/>
    </row>
    <row r="25" customFormat="false" ht="15" hidden="false" customHeight="true" outlineLevel="0" collapsed="false">
      <c r="A25" s="10"/>
      <c r="B25" s="11"/>
      <c r="C25" s="10"/>
      <c r="D25" s="10"/>
      <c r="E25" s="14"/>
      <c r="G25" s="6" t="s">
        <v>62</v>
      </c>
      <c r="H25" s="6"/>
      <c r="I25" s="6"/>
      <c r="K25" s="10"/>
      <c r="L25" s="14"/>
      <c r="M25" s="11"/>
      <c r="N25" s="10"/>
    </row>
    <row r="26" customFormat="false" ht="15" hidden="false" customHeight="true" outlineLevel="0" collapsed="false">
      <c r="A26" s="10"/>
      <c r="B26" s="11"/>
      <c r="C26" s="10"/>
      <c r="D26" s="10"/>
      <c r="E26" s="14"/>
      <c r="G26" s="31" t="s">
        <v>63</v>
      </c>
      <c r="H26" s="31"/>
      <c r="I26" s="14"/>
      <c r="K26" s="10"/>
      <c r="L26" s="14"/>
      <c r="M26" s="11"/>
      <c r="N26" s="10"/>
    </row>
    <row r="27" customFormat="false" ht="15" hidden="false" customHeight="true" outlineLevel="0" collapsed="false">
      <c r="A27" s="10"/>
      <c r="B27" s="11"/>
      <c r="C27" s="10"/>
      <c r="D27" s="10"/>
      <c r="E27" s="14"/>
      <c r="G27" s="31" t="s">
        <v>64</v>
      </c>
      <c r="H27" s="31"/>
      <c r="I27" s="14"/>
      <c r="K27" s="10"/>
      <c r="L27" s="14"/>
      <c r="M27" s="11"/>
      <c r="N27" s="10"/>
    </row>
    <row r="28" customFormat="false" ht="15" hidden="false" customHeight="true" outlineLevel="0" collapsed="false">
      <c r="A28" s="10"/>
      <c r="B28" s="11"/>
      <c r="C28" s="10"/>
      <c r="D28" s="10"/>
      <c r="E28" s="14"/>
      <c r="G28" s="32" t="s">
        <v>57</v>
      </c>
      <c r="H28" s="32"/>
      <c r="I28" s="9" t="n">
        <f aca="false">SUM(I26:I27)</f>
        <v>0</v>
      </c>
      <c r="K28" s="10"/>
      <c r="L28" s="14"/>
      <c r="M28" s="11"/>
      <c r="N28" s="10"/>
    </row>
    <row r="29" customFormat="false" ht="15" hidden="false" customHeight="false" outlineLevel="0" collapsed="false">
      <c r="A29" s="10"/>
      <c r="B29" s="11"/>
      <c r="C29" s="10"/>
      <c r="D29" s="10"/>
      <c r="E29" s="14"/>
      <c r="K29" s="10"/>
      <c r="L29" s="14"/>
      <c r="M29" s="11"/>
      <c r="N29" s="10"/>
    </row>
    <row r="30" customFormat="false" ht="15" hidden="false" customHeight="true" outlineLevel="0" collapsed="false">
      <c r="A30" s="10"/>
      <c r="B30" s="11"/>
      <c r="C30" s="10"/>
      <c r="D30" s="10"/>
      <c r="E30" s="14"/>
      <c r="G30" s="6" t="s">
        <v>65</v>
      </c>
      <c r="H30" s="6"/>
      <c r="I30" s="6"/>
      <c r="K30" s="10"/>
      <c r="L30" s="14"/>
      <c r="M30" s="11"/>
      <c r="N30" s="10"/>
    </row>
    <row r="31" customFormat="false" ht="15" hidden="false" customHeight="true" outlineLevel="0" collapsed="false">
      <c r="A31" s="10"/>
      <c r="B31" s="11"/>
      <c r="C31" s="10"/>
      <c r="D31" s="10"/>
      <c r="E31" s="14"/>
      <c r="G31" s="12" t="s">
        <v>36</v>
      </c>
      <c r="H31" s="12"/>
      <c r="I31" s="14" t="n">
        <f aca="false">SUMIF($C$5:$C$64,$G31,$E$5:$E$64)+SUMIF($G$5:$G$12,$G31,$I$5:$I$12)+SUMIF($G$16:$G$23,$G31,$I$16:$I$23)</f>
        <v>0</v>
      </c>
    </row>
    <row r="32" customFormat="false" ht="15" hidden="false" customHeight="true" outlineLevel="0" collapsed="false">
      <c r="A32" s="10"/>
      <c r="B32" s="11"/>
      <c r="C32" s="10"/>
      <c r="D32" s="10"/>
      <c r="E32" s="14"/>
      <c r="G32" s="17" t="s">
        <v>40</v>
      </c>
      <c r="H32" s="17"/>
      <c r="I32" s="14" t="n">
        <f aca="false">SUMIF($C$5:$C$64,$G32,$E$5:$E$64)+SUMIF($G$5:$G$12,$G32,$I$5:$I$12)+SUMIF($G$16:$G$23,$G32,$I$16:$I$23)</f>
        <v>0</v>
      </c>
      <c r="K32" s="6" t="s">
        <v>66</v>
      </c>
      <c r="L32" s="6"/>
      <c r="M32" s="6"/>
      <c r="N32" s="6"/>
    </row>
    <row r="33" customFormat="false" ht="15" hidden="false" customHeight="true" outlineLevel="0" collapsed="false">
      <c r="A33" s="10"/>
      <c r="B33" s="11"/>
      <c r="C33" s="10"/>
      <c r="D33" s="10"/>
      <c r="E33" s="14"/>
      <c r="G33" s="18" t="s">
        <v>42</v>
      </c>
      <c r="H33" s="18"/>
      <c r="I33" s="14" t="n">
        <f aca="false">SUMIF($C$5:$C$64,$G33,$E$5:$E$64)+SUMIF($G$5:$G$12,$G33,$I$5:$I$12)+SUMIF($G$16:$G$23,$G33,$I$16:$I$23)</f>
        <v>0</v>
      </c>
      <c r="K33" s="31" t="s">
        <v>67</v>
      </c>
      <c r="L33" s="31"/>
      <c r="M33" s="31"/>
      <c r="N33" s="33" t="n">
        <f aca="false">COUNT($E$5:$E$64)</f>
        <v>0</v>
      </c>
    </row>
    <row r="34" customFormat="false" ht="15" hidden="false" customHeight="true" outlineLevel="0" collapsed="false">
      <c r="A34" s="10"/>
      <c r="B34" s="11"/>
      <c r="C34" s="10"/>
      <c r="D34" s="10"/>
      <c r="E34" s="14"/>
      <c r="G34" s="23" t="s">
        <v>49</v>
      </c>
      <c r="H34" s="23"/>
      <c r="I34" s="14" t="n">
        <f aca="false">SUMIF($C$5:$C$64,$G34,$E$5:$E$64)+SUMIF($G$5:$G$12,$G34,$I$5:$I$12)+SUMIF($G$16:$G$23,$G34,$I$16:$I$23)</f>
        <v>0</v>
      </c>
      <c r="K34" s="31" t="s">
        <v>68</v>
      </c>
      <c r="L34" s="31"/>
      <c r="M34" s="31"/>
      <c r="N34" s="14" t="n">
        <f aca="false">IF(COUNT($E$5:$E$64)=0,0,MAX($E$5:$E$64))</f>
        <v>0</v>
      </c>
    </row>
    <row r="35" customFormat="false" ht="15" hidden="false" customHeight="true" outlineLevel="0" collapsed="false">
      <c r="A35" s="10"/>
      <c r="B35" s="11"/>
      <c r="C35" s="10"/>
      <c r="D35" s="10"/>
      <c r="E35" s="14"/>
      <c r="G35" s="34" t="s">
        <v>69</v>
      </c>
      <c r="H35" s="34"/>
      <c r="I35" s="14" t="n">
        <f aca="false">SUMIF($C$5:$C$64,$G35,$E$5:$E$64)+SUMIF($G$5:$G$12,$G35,$I$5:$I$12)+SUMIF($G$16:$G$23,$G35,$I$16:$I$23)</f>
        <v>0</v>
      </c>
      <c r="K35" s="31" t="s">
        <v>70</v>
      </c>
      <c r="L35" s="31"/>
      <c r="M35" s="31"/>
      <c r="N35" s="33" t="str">
        <f aca="false">IF($E$3=0,"—",INDEX($A$5:$A$64,MATCH(MAX($E$5:$E$64),$E$5:$E$64,0)))</f>
        <v>—</v>
      </c>
    </row>
    <row r="36" customFormat="false" ht="15" hidden="false" customHeight="true" outlineLevel="0" collapsed="false">
      <c r="A36" s="10"/>
      <c r="B36" s="11"/>
      <c r="C36" s="10"/>
      <c r="D36" s="10"/>
      <c r="E36" s="14"/>
      <c r="G36" s="28" t="s">
        <v>56</v>
      </c>
      <c r="H36" s="28"/>
      <c r="I36" s="14" t="n">
        <f aca="false">SUMIF($C$5:$C$64,$G36,$E$5:$E$64)+SUMIF($G$5:$G$12,$G36,$I$5:$I$12)+SUMIF($G$16:$G$23,$G36,$I$16:$I$23)</f>
        <v>0</v>
      </c>
      <c r="K36" s="31" t="s">
        <v>71</v>
      </c>
      <c r="L36" s="31"/>
      <c r="M36" s="31"/>
      <c r="N36" s="33" t="str">
        <f aca="false">IF($E$3=0,"—",INDEX($K$5:$K$16,MATCH(MAX($M$5:$M$16),$M$5:$M$16,0)))</f>
        <v>—</v>
      </c>
    </row>
    <row r="37" customFormat="false" ht="15" hidden="false" customHeight="true" outlineLevel="0" collapsed="false">
      <c r="A37" s="10"/>
      <c r="B37" s="11"/>
      <c r="C37" s="10"/>
      <c r="D37" s="10"/>
      <c r="E37" s="14"/>
      <c r="G37" s="10" t="s">
        <v>72</v>
      </c>
      <c r="H37" s="10"/>
      <c r="I37" s="14"/>
      <c r="K37" s="31" t="s">
        <v>73</v>
      </c>
      <c r="L37" s="31"/>
      <c r="M37" s="31"/>
      <c r="N37" s="14" t="n">
        <f aca="false">IFERROR(AVERAGE($E$5:$E$64),0)</f>
        <v>0</v>
      </c>
    </row>
    <row r="38" customFormat="false" ht="15" hidden="false" customHeight="true" outlineLevel="0" collapsed="false">
      <c r="A38" s="10"/>
      <c r="B38" s="11"/>
      <c r="C38" s="10"/>
      <c r="D38" s="10"/>
      <c r="E38" s="14"/>
      <c r="G38" s="10" t="s">
        <v>74</v>
      </c>
      <c r="H38" s="10"/>
      <c r="I38" s="14"/>
      <c r="K38" s="31" t="s">
        <v>75</v>
      </c>
      <c r="L38" s="31"/>
      <c r="M38" s="31"/>
      <c r="N38" s="14" t="n">
        <f aca="false">IFERROR($E$3/DAY(EOMONTH(DATE(2026,8,1),0)),0)</f>
        <v>0</v>
      </c>
    </row>
    <row r="39" customFormat="false" ht="15" hidden="false" customHeight="true" outlineLevel="0" collapsed="false">
      <c r="A39" s="10"/>
      <c r="B39" s="11"/>
      <c r="C39" s="10"/>
      <c r="D39" s="10"/>
      <c r="E39" s="14"/>
      <c r="G39" s="29" t="s">
        <v>76</v>
      </c>
      <c r="H39" s="29"/>
      <c r="I39" s="9" t="n">
        <f aca="false">SUM(I31:I38)</f>
        <v>0</v>
      </c>
      <c r="K39" s="31" t="s">
        <v>77</v>
      </c>
      <c r="L39" s="31"/>
      <c r="M39" s="31"/>
      <c r="N39" s="16" t="n">
        <f aca="false">IFERROR($I$39/$I$28,0)</f>
        <v>0</v>
      </c>
    </row>
    <row r="40" customFormat="false" ht="15" hidden="false" customHeight="false" outlineLevel="0" collapsed="false">
      <c r="A40" s="10"/>
      <c r="B40" s="11"/>
      <c r="C40" s="10"/>
      <c r="D40" s="10"/>
      <c r="E40" s="14"/>
    </row>
    <row r="41" customFormat="false" ht="15" hidden="false" customHeight="true" outlineLevel="0" collapsed="false">
      <c r="A41" s="10"/>
      <c r="B41" s="11"/>
      <c r="C41" s="10"/>
      <c r="D41" s="10"/>
      <c r="E41" s="14"/>
      <c r="G41" s="6" t="s">
        <v>78</v>
      </c>
      <c r="H41" s="6"/>
      <c r="I41" s="6"/>
    </row>
    <row r="42" customFormat="false" ht="15" hidden="false" customHeight="true" outlineLevel="0" collapsed="false">
      <c r="A42" s="10"/>
      <c r="B42" s="11"/>
      <c r="C42" s="10"/>
      <c r="D42" s="10"/>
      <c r="E42" s="14"/>
      <c r="G42" s="10" t="s">
        <v>72</v>
      </c>
      <c r="H42" s="10"/>
      <c r="I42" s="14"/>
    </row>
    <row r="43" customFormat="false" ht="15" hidden="false" customHeight="true" outlineLevel="0" collapsed="false">
      <c r="A43" s="10"/>
      <c r="B43" s="11"/>
      <c r="C43" s="10"/>
      <c r="D43" s="10"/>
      <c r="E43" s="14"/>
      <c r="G43" s="10" t="s">
        <v>79</v>
      </c>
      <c r="H43" s="10"/>
      <c r="I43" s="14"/>
    </row>
    <row r="44" customFormat="false" ht="15" hidden="false" customHeight="true" outlineLevel="0" collapsed="false">
      <c r="A44" s="10"/>
      <c r="B44" s="11"/>
      <c r="C44" s="10"/>
      <c r="D44" s="10"/>
      <c r="E44" s="14"/>
      <c r="G44" s="29" t="s">
        <v>57</v>
      </c>
      <c r="H44" s="29"/>
      <c r="I44" s="9" t="n">
        <f aca="false">SUM(I42:I43)</f>
        <v>0</v>
      </c>
    </row>
    <row r="45" customFormat="false" ht="15" hidden="false" customHeight="false" outlineLevel="0" collapsed="false">
      <c r="A45" s="10"/>
      <c r="B45" s="11"/>
      <c r="C45" s="10"/>
      <c r="D45" s="10"/>
      <c r="E45" s="14"/>
    </row>
    <row r="46" customFormat="false" ht="15" hidden="false" customHeight="true" outlineLevel="0" collapsed="false">
      <c r="A46" s="10"/>
      <c r="B46" s="11"/>
      <c r="C46" s="10"/>
      <c r="D46" s="10"/>
      <c r="E46" s="14"/>
      <c r="G46" s="6" t="s">
        <v>80</v>
      </c>
      <c r="H46" s="6"/>
      <c r="I46" s="6"/>
    </row>
    <row r="47" customFormat="false" ht="31.5" hidden="false" customHeight="true" outlineLevel="0" collapsed="false">
      <c r="A47" s="10"/>
      <c r="B47" s="11"/>
      <c r="C47" s="10"/>
      <c r="D47" s="10"/>
      <c r="E47" s="14"/>
      <c r="G47" s="35" t="n">
        <f aca="false">I28-I39</f>
        <v>0</v>
      </c>
      <c r="H47" s="35"/>
      <c r="I47" s="35"/>
    </row>
    <row r="48" customFormat="false" ht="15" hidden="false" customHeight="false" outlineLevel="0" collapsed="false">
      <c r="A48" s="10"/>
      <c r="B48" s="11"/>
      <c r="C48" s="10"/>
      <c r="D48" s="10"/>
      <c r="E48" s="14"/>
    </row>
    <row r="49" customFormat="false" ht="15" hidden="false" customHeight="false" outlineLevel="0" collapsed="false">
      <c r="A49" s="10"/>
      <c r="B49" s="11"/>
      <c r="C49" s="10"/>
      <c r="D49" s="10"/>
      <c r="E49" s="14"/>
    </row>
    <row r="50" customFormat="false" ht="15" hidden="false" customHeight="false" outlineLevel="0" collapsed="false">
      <c r="A50" s="10"/>
      <c r="B50" s="11"/>
      <c r="C50" s="10"/>
      <c r="D50" s="10"/>
      <c r="E50" s="14"/>
    </row>
    <row r="51" customFormat="false" ht="15" hidden="false" customHeight="false" outlineLevel="0" collapsed="false">
      <c r="A51" s="10"/>
      <c r="B51" s="11"/>
      <c r="C51" s="10"/>
      <c r="D51" s="10"/>
      <c r="E51" s="14"/>
    </row>
    <row r="52" customFormat="false" ht="15" hidden="false" customHeight="false" outlineLevel="0" collapsed="false">
      <c r="A52" s="10"/>
      <c r="B52" s="11"/>
      <c r="C52" s="10"/>
      <c r="D52" s="10"/>
      <c r="E52" s="14"/>
    </row>
    <row r="53" customFormat="false" ht="15" hidden="false" customHeight="false" outlineLevel="0" collapsed="false">
      <c r="A53" s="10"/>
      <c r="B53" s="11"/>
      <c r="C53" s="10"/>
      <c r="D53" s="10"/>
      <c r="E53" s="14"/>
    </row>
    <row r="54" customFormat="false" ht="15" hidden="false" customHeight="false" outlineLevel="0" collapsed="false">
      <c r="A54" s="10"/>
      <c r="B54" s="11"/>
      <c r="C54" s="10"/>
      <c r="D54" s="10"/>
      <c r="E54" s="14"/>
    </row>
    <row r="55" customFormat="false" ht="15" hidden="false" customHeight="false" outlineLevel="0" collapsed="false">
      <c r="A55" s="10"/>
      <c r="B55" s="11"/>
      <c r="C55" s="10"/>
      <c r="D55" s="10"/>
      <c r="E55" s="14"/>
    </row>
    <row r="56" customFormat="false" ht="15" hidden="false" customHeight="false" outlineLevel="0" collapsed="false">
      <c r="A56" s="10"/>
      <c r="B56" s="11"/>
      <c r="C56" s="10"/>
      <c r="D56" s="10"/>
      <c r="E56" s="14"/>
    </row>
    <row r="57" customFormat="false" ht="15" hidden="false" customHeight="false" outlineLevel="0" collapsed="false">
      <c r="A57" s="10"/>
      <c r="B57" s="11"/>
      <c r="C57" s="10"/>
      <c r="D57" s="10"/>
      <c r="E57" s="14"/>
    </row>
    <row r="58" customFormat="false" ht="15" hidden="false" customHeight="false" outlineLevel="0" collapsed="false">
      <c r="A58" s="10"/>
      <c r="B58" s="11"/>
      <c r="C58" s="10"/>
      <c r="D58" s="10"/>
      <c r="E58" s="14"/>
    </row>
    <row r="59" customFormat="false" ht="15" hidden="false" customHeight="false" outlineLevel="0" collapsed="false">
      <c r="A59" s="10"/>
      <c r="B59" s="11"/>
      <c r="C59" s="10"/>
      <c r="D59" s="10"/>
      <c r="E59" s="14"/>
    </row>
    <row r="60" customFormat="false" ht="15" hidden="false" customHeight="false" outlineLevel="0" collapsed="false">
      <c r="A60" s="10"/>
      <c r="B60" s="11"/>
      <c r="C60" s="10"/>
      <c r="D60" s="10"/>
      <c r="E60" s="14"/>
    </row>
    <row r="61" customFormat="false" ht="15" hidden="false" customHeight="false" outlineLevel="0" collapsed="false">
      <c r="A61" s="10"/>
      <c r="B61" s="11"/>
      <c r="C61" s="10"/>
      <c r="D61" s="10"/>
      <c r="E61" s="14"/>
    </row>
    <row r="62" customFormat="false" ht="15" hidden="false" customHeight="false" outlineLevel="0" collapsed="false">
      <c r="A62" s="10"/>
      <c r="B62" s="11"/>
      <c r="C62" s="10"/>
      <c r="D62" s="10"/>
      <c r="E62" s="14"/>
    </row>
    <row r="63" customFormat="false" ht="15" hidden="false" customHeight="false" outlineLevel="0" collapsed="false">
      <c r="A63" s="10"/>
      <c r="B63" s="11"/>
      <c r="C63" s="10"/>
      <c r="D63" s="10"/>
      <c r="E63" s="14"/>
    </row>
    <row r="64" customFormat="false" ht="15" hidden="false" customHeight="false" outlineLevel="0" collapsed="false">
      <c r="A64" s="10"/>
      <c r="B64" s="11"/>
      <c r="C64" s="10"/>
      <c r="D64" s="10"/>
      <c r="E64" s="14"/>
    </row>
  </sheetData>
  <mergeCells count="34">
    <mergeCell ref="A1:N1"/>
    <mergeCell ref="A3:C3"/>
    <mergeCell ref="G3:H3"/>
    <mergeCell ref="K3:N3"/>
    <mergeCell ref="G14:H14"/>
    <mergeCell ref="K19:N19"/>
    <mergeCell ref="G25:I25"/>
    <mergeCell ref="G26:H26"/>
    <mergeCell ref="G27:H27"/>
    <mergeCell ref="G28:H28"/>
    <mergeCell ref="G30:I30"/>
    <mergeCell ref="G31:H31"/>
    <mergeCell ref="G32:H32"/>
    <mergeCell ref="K32:N32"/>
    <mergeCell ref="G33:H33"/>
    <mergeCell ref="K33:M33"/>
    <mergeCell ref="G34:H34"/>
    <mergeCell ref="K34:M34"/>
    <mergeCell ref="G35:H35"/>
    <mergeCell ref="K35:M35"/>
    <mergeCell ref="G36:H36"/>
    <mergeCell ref="K36:M36"/>
    <mergeCell ref="G37:H37"/>
    <mergeCell ref="K37:M37"/>
    <mergeCell ref="G38:H38"/>
    <mergeCell ref="K38:M38"/>
    <mergeCell ref="G39:H39"/>
    <mergeCell ref="K39:M39"/>
    <mergeCell ref="G41:I41"/>
    <mergeCell ref="G42:H42"/>
    <mergeCell ref="G43:H43"/>
    <mergeCell ref="G44:H44"/>
    <mergeCell ref="G46:I46"/>
    <mergeCell ref="G47:I47"/>
  </mergeCells>
  <conditionalFormatting sqref="C5:C64">
    <cfRule type="containsText" priority="2" operator="containsText" aboveAverage="0" equalAverage="0" bottom="0" percent="0" rank="0" text="Débito" dxfId="0">
      <formula>NOT(ISERROR(SEARCH("Débito",C5)))</formula>
    </cfRule>
    <cfRule type="containsText" priority="3" operator="containsText" aboveAverage="0" equalAverage="0" bottom="0" percent="0" rank="0" text="Crédito" dxfId="1">
      <formula>NOT(ISERROR(SEARCH("Crédito",C5)))</formula>
    </cfRule>
    <cfRule type="containsText" priority="4" operator="containsText" aboveAverage="0" equalAverage="0" bottom="0" percent="0" rank="0" text="Pix" dxfId="2">
      <formula>NOT(ISERROR(SEARCH("Pix",C5)))</formula>
    </cfRule>
    <cfRule type="containsText" priority="5" operator="containsText" aboveAverage="0" equalAverage="0" bottom="0" percent="0" rank="0" text="Dinheiro" dxfId="3">
      <formula>NOT(ISERROR(SEARCH("Dinheiro",C5)))</formula>
    </cfRule>
    <cfRule type="containsText" priority="6" operator="containsText" aboveAverage="0" equalAverage="0" bottom="0" percent="0" rank="0" text="Voucher" dxfId="4">
      <formula>NOT(ISERROR(SEARCH("Voucher",C5)))</formula>
    </cfRule>
    <cfRule type="containsText" priority="7" operator="containsText" aboveAverage="0" equalAverage="0" bottom="0" percent="0" rank="0" text="Outros" dxfId="5">
      <formula>NOT(ISERROR(SEARCH("Outros",C5)))</formula>
    </cfRule>
  </conditionalFormatting>
  <conditionalFormatting sqref="D5:D64">
    <cfRule type="containsText" priority="8" operator="containsText" aboveAverage="0" equalAverage="0" bottom="0" percent="0" rank="0" text="Mercado" dxfId="6">
      <formula>NOT(ISERROR(SEARCH("Mercado",D5)))</formula>
    </cfRule>
    <cfRule type="containsText" priority="9" operator="containsText" aboveAverage="0" equalAverage="0" bottom="0" percent="0" rank="0" text="Alimentação" dxfId="7">
      <formula>NOT(ISERROR(SEARCH("Alimentação",D5)))</formula>
    </cfRule>
    <cfRule type="containsText" priority="10" operator="containsText" aboveAverage="0" equalAverage="0" bottom="0" percent="0" rank="0" text="Farmácia" dxfId="8">
      <formula>NOT(ISERROR(SEARCH("Farmácia",D5)))</formula>
    </cfRule>
    <cfRule type="containsText" priority="11" operator="containsText" aboveAverage="0" equalAverage="0" bottom="0" percent="0" rank="0" text="Combustível" dxfId="9">
      <formula>NOT(ISERROR(SEARCH("Combustível",D5)))</formula>
    </cfRule>
    <cfRule type="containsText" priority="12" operator="containsText" aboveAverage="0" equalAverage="0" bottom="0" percent="0" rank="0" text="Transporte" dxfId="10">
      <formula>NOT(ISERROR(SEARCH("Transporte",D5)))</formula>
    </cfRule>
    <cfRule type="containsText" priority="13" operator="containsText" aboveAverage="0" equalAverage="0" bottom="0" percent="0" rank="0" text="Vestuário" dxfId="1">
      <formula>NOT(ISERROR(SEARCH("Vestuário",D5)))</formula>
    </cfRule>
    <cfRule type="containsText" priority="14" operator="containsText" aboveAverage="0" equalAverage="0" bottom="0" percent="0" rank="0" text="Eletrônicos" dxfId="11">
      <formula>NOT(ISERROR(SEARCH("Eletrônicos",D5)))</formula>
    </cfRule>
    <cfRule type="containsText" priority="15" operator="containsText" aboveAverage="0" equalAverage="0" bottom="0" percent="0" rank="0" text="Casa" dxfId="12">
      <formula>NOT(ISERROR(SEARCH("Casa",D5)))</formula>
    </cfRule>
    <cfRule type="containsText" priority="16" operator="containsText" aboveAverage="0" equalAverage="0" bottom="0" percent="0" rank="0" text="Saúde" dxfId="13">
      <formula>NOT(ISERROR(SEARCH("Saúde",D5)))</formula>
    </cfRule>
    <cfRule type="containsText" priority="17" operator="containsText" aboveAverage="0" equalAverage="0" bottom="0" percent="0" rank="0" text="Lazer" dxfId="14">
      <formula>NOT(ISERROR(SEARCH("Lazer",D5)))</formula>
    </cfRule>
    <cfRule type="containsText" priority="18" operator="containsText" aboveAverage="0" equalAverage="0" bottom="0" percent="0" rank="0" text="Serviços" dxfId="15">
      <formula>NOT(ISERROR(SEARCH("Serviços",D5)))</formula>
    </cfRule>
    <cfRule type="containsText" priority="19" operator="containsText" aboveAverage="0" equalAverage="0" bottom="0" percent="0" rank="0" text="Outros" dxfId="5">
      <formula>NOT(ISERROR(SEARCH("Outros",D5)))</formula>
    </cfRule>
  </conditionalFormatting>
  <dataValidations count="3">
    <dataValidation allowBlank="true" errorStyle="stop" operator="between" showDropDown="false" showErrorMessage="false" showInputMessage="false" sqref="D5:D24 H5:H12 H16:H23 D25:D64" type="list">
      <formula1>"Alimentação,Mercado,Farmácia,Combustível,Transporte,Vestuário,Eletrônicos,Casa,Saúde,Lazer,Serviços,Outros"</formula1>
      <formula2>0</formula2>
    </dataValidation>
    <dataValidation allowBlank="true" errorStyle="stop" operator="between" showDropDown="false" showErrorMessage="false" showInputMessage="false" sqref="C5:C24 G5:G12 G16:G23 C25:C64" type="list">
      <formula1>"Débito,Crédito,Pix,Dinheiro,Voucher,Outros"</formula1>
      <formula2>0</formula2>
    </dataValidation>
    <dataValidation allowBlank="true" errorStyle="stop" operator="between" showDropDown="false" showErrorMessage="false" showInputMessage="false" sqref="N21:N3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88A89"/>
    <pageSetUpPr fitToPage="false"/>
  </sheetPr>
  <dimension ref="A1:N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2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2"/>
    <col collapsed="false" customWidth="true" hidden="false" outlineLevel="0" max="11" min="11" style="0" width="17"/>
    <col collapsed="false" customWidth="true" hidden="false" outlineLevel="0" max="12" min="12" style="0" width="13"/>
    <col collapsed="false" customWidth="true" hidden="false" outlineLevel="0" max="14" min="13" style="0" width="12"/>
    <col collapsed="false" customWidth="true" hidden="false" outlineLevel="0" max="15" min="15" style="0" width="2"/>
  </cols>
  <sheetData>
    <row r="1" customFormat="false" ht="33.75" hidden="false" customHeight="true" outlineLevel="0" collapsed="false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9.7" hidden="false" customHeight="true" outlineLevel="0" collapsed="false">
      <c r="A3" s="6" t="s">
        <v>23</v>
      </c>
      <c r="B3" s="6"/>
      <c r="C3" s="6"/>
      <c r="D3" s="7" t="s">
        <v>24</v>
      </c>
      <c r="E3" s="8" t="n">
        <f aca="false">SUM(E5:E64)</f>
        <v>0</v>
      </c>
      <c r="G3" s="6" t="s">
        <v>25</v>
      </c>
      <c r="H3" s="6"/>
      <c r="I3" s="9" t="n">
        <f aca="false">SUM(I5:I12)</f>
        <v>0</v>
      </c>
      <c r="K3" s="6" t="s">
        <v>26</v>
      </c>
      <c r="L3" s="6"/>
      <c r="M3" s="6"/>
      <c r="N3" s="6"/>
    </row>
    <row r="4" customFormat="false" ht="15" hidden="false" customHeight="false" outlineLevel="0" collapsed="false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G4" s="6" t="s">
        <v>29</v>
      </c>
      <c r="H4" s="6" t="s">
        <v>30</v>
      </c>
      <c r="I4" s="6" t="s">
        <v>31</v>
      </c>
      <c r="K4" s="6" t="s">
        <v>30</v>
      </c>
      <c r="L4" s="6" t="s">
        <v>32</v>
      </c>
      <c r="M4" s="6" t="s">
        <v>33</v>
      </c>
      <c r="N4" s="6" t="s">
        <v>34</v>
      </c>
    </row>
    <row r="5" customFormat="false" ht="15" hidden="false" customHeight="false" outlineLevel="0" collapsed="false">
      <c r="A5" s="10"/>
      <c r="B5" s="11"/>
      <c r="C5" s="10"/>
      <c r="D5" s="10"/>
      <c r="E5" s="14"/>
      <c r="G5" s="10"/>
      <c r="H5" s="10"/>
      <c r="I5" s="14"/>
      <c r="K5" s="15" t="s">
        <v>38</v>
      </c>
      <c r="L5" s="14"/>
      <c r="M5" s="14" t="n">
        <f aca="false">SUMIF($D$5:$D$64,$K5,$E$5:$E$64)</f>
        <v>0</v>
      </c>
      <c r="N5" s="16" t="n">
        <f aca="false">IFERROR(M5/$E$3,0)</f>
        <v>0</v>
      </c>
    </row>
    <row r="6" customFormat="false" ht="15" hidden="false" customHeight="false" outlineLevel="0" collapsed="false">
      <c r="A6" s="10"/>
      <c r="B6" s="11"/>
      <c r="C6" s="10"/>
      <c r="D6" s="10"/>
      <c r="E6" s="14"/>
      <c r="G6" s="10"/>
      <c r="H6" s="10"/>
      <c r="I6" s="14"/>
      <c r="K6" s="13" t="s">
        <v>37</v>
      </c>
      <c r="L6" s="14"/>
      <c r="M6" s="14" t="n">
        <f aca="false">SUMIF($D$5:$D$64,$K6,$E$5:$E$64)</f>
        <v>0</v>
      </c>
      <c r="N6" s="16" t="n">
        <f aca="false">IFERROR(M6/$E$3,0)</f>
        <v>0</v>
      </c>
    </row>
    <row r="7" customFormat="false" ht="15" hidden="false" customHeight="false" outlineLevel="0" collapsed="false">
      <c r="A7" s="10"/>
      <c r="B7" s="11"/>
      <c r="C7" s="10"/>
      <c r="D7" s="10"/>
      <c r="E7" s="14"/>
      <c r="G7" s="10"/>
      <c r="H7" s="10"/>
      <c r="I7" s="14"/>
      <c r="K7" s="20" t="s">
        <v>44</v>
      </c>
      <c r="L7" s="14"/>
      <c r="M7" s="14" t="n">
        <f aca="false">SUMIF($D$5:$D$64,$K7,$E$5:$E$64)</f>
        <v>0</v>
      </c>
      <c r="N7" s="16" t="n">
        <f aca="false">IFERROR(M7/$E$3,0)</f>
        <v>0</v>
      </c>
    </row>
    <row r="8" customFormat="false" ht="15" hidden="false" customHeight="false" outlineLevel="0" collapsed="false">
      <c r="A8" s="10"/>
      <c r="B8" s="11"/>
      <c r="C8" s="10"/>
      <c r="D8" s="10"/>
      <c r="E8" s="14"/>
      <c r="G8" s="10"/>
      <c r="H8" s="10"/>
      <c r="I8" s="14"/>
      <c r="K8" s="22" t="s">
        <v>47</v>
      </c>
      <c r="L8" s="14"/>
      <c r="M8" s="14" t="n">
        <f aca="false">SUMIF($D$5:$D$64,$K8,$E$5:$E$64)</f>
        <v>0</v>
      </c>
      <c r="N8" s="16" t="n">
        <f aca="false">IFERROR(M8/$E$3,0)</f>
        <v>0</v>
      </c>
    </row>
    <row r="9" customFormat="false" ht="15" hidden="false" customHeight="false" outlineLevel="0" collapsed="false">
      <c r="A9" s="10"/>
      <c r="B9" s="11"/>
      <c r="C9" s="10"/>
      <c r="D9" s="10"/>
      <c r="E9" s="14"/>
      <c r="G9" s="10"/>
      <c r="H9" s="10"/>
      <c r="I9" s="14"/>
      <c r="K9" s="19" t="s">
        <v>43</v>
      </c>
      <c r="L9" s="14"/>
      <c r="M9" s="14" t="n">
        <f aca="false">SUMIF($D$5:$D$64,$K9,$E$5:$E$64)</f>
        <v>0</v>
      </c>
      <c r="N9" s="16" t="n">
        <f aca="false">IFERROR(M9/$E$3,0)</f>
        <v>0</v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G10" s="10"/>
      <c r="H10" s="10"/>
      <c r="I10" s="14"/>
      <c r="K10" s="17" t="s">
        <v>50</v>
      </c>
      <c r="L10" s="14"/>
      <c r="M10" s="14" t="n">
        <f aca="false">SUMIF($D$5:$D$64,$K10,$E$5:$E$64)</f>
        <v>0</v>
      </c>
      <c r="N10" s="16" t="n">
        <f aca="false">IFERROR(M10/$E$3,0)</f>
        <v>0</v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G11" s="10"/>
      <c r="H11" s="10"/>
      <c r="I11" s="14"/>
      <c r="K11" s="24" t="s">
        <v>51</v>
      </c>
      <c r="L11" s="14"/>
      <c r="M11" s="14" t="n">
        <f aca="false">SUMIF($D$5:$D$64,$K11,$E$5:$E$64)</f>
        <v>0</v>
      </c>
      <c r="N11" s="16" t="n">
        <f aca="false">IFERROR(M11/$E$3,0)</f>
        <v>0</v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G12" s="10"/>
      <c r="H12" s="10"/>
      <c r="I12" s="14"/>
      <c r="K12" s="21" t="s">
        <v>46</v>
      </c>
      <c r="L12" s="14"/>
      <c r="M12" s="14" t="n">
        <f aca="false">SUMIF($D$5:$D$64,$K12,$E$5:$E$64)</f>
        <v>0</v>
      </c>
      <c r="N12" s="16" t="n">
        <f aca="false">IFERROR(M12/$E$3,0)</f>
        <v>0</v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K13" s="25" t="s">
        <v>52</v>
      </c>
      <c r="L13" s="14"/>
      <c r="M13" s="14" t="n">
        <f aca="false">SUMIF($D$5:$D$64,$K13,$E$5:$E$64)</f>
        <v>0</v>
      </c>
      <c r="N13" s="16" t="n">
        <f aca="false">IFERROR(M13/$E$3,0)</f>
        <v>0</v>
      </c>
    </row>
    <row r="14" customFormat="false" ht="26.85" hidden="false" customHeight="true" outlineLevel="0" collapsed="false">
      <c r="A14" s="10"/>
      <c r="B14" s="11"/>
      <c r="C14" s="10"/>
      <c r="D14" s="10"/>
      <c r="E14" s="14"/>
      <c r="G14" s="6" t="s">
        <v>53</v>
      </c>
      <c r="H14" s="6"/>
      <c r="I14" s="9" t="n">
        <f aca="false">SUM(I16:I23)</f>
        <v>0</v>
      </c>
      <c r="K14" s="26" t="s">
        <v>54</v>
      </c>
      <c r="L14" s="14"/>
      <c r="M14" s="14" t="n">
        <f aca="false">SUMIF($D$5:$D$64,$K14,$E$5:$E$64)</f>
        <v>0</v>
      </c>
      <c r="N14" s="16" t="n">
        <f aca="false">IFERROR(M14/$E$3,0)</f>
        <v>0</v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G15" s="6" t="s">
        <v>29</v>
      </c>
      <c r="H15" s="6" t="s">
        <v>30</v>
      </c>
      <c r="I15" s="6" t="s">
        <v>31</v>
      </c>
      <c r="K15" s="27" t="s">
        <v>55</v>
      </c>
      <c r="L15" s="14"/>
      <c r="M15" s="14" t="n">
        <f aca="false">SUMIF($D$5:$D$64,$K15,$E$5:$E$64)</f>
        <v>0</v>
      </c>
      <c r="N15" s="16" t="n">
        <f aca="false">IFERROR(M15/$E$3,0)</f>
        <v>0</v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G16" s="10"/>
      <c r="H16" s="10"/>
      <c r="I16" s="14"/>
      <c r="K16" s="28" t="s">
        <v>56</v>
      </c>
      <c r="L16" s="14"/>
      <c r="M16" s="14" t="n">
        <f aca="false">SUMIF($D$5:$D$64,$K16,$E$5:$E$64)</f>
        <v>0</v>
      </c>
      <c r="N16" s="16" t="n">
        <f aca="false">IFERROR(M16/$E$3,0)</f>
        <v>0</v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G17" s="10"/>
      <c r="H17" s="10"/>
      <c r="I17" s="14"/>
      <c r="K17" s="29" t="s">
        <v>57</v>
      </c>
      <c r="L17" s="9" t="n">
        <f aca="false">SUM(L5:L16)</f>
        <v>0</v>
      </c>
      <c r="M17" s="9" t="n">
        <f aca="false">SUM(M5:M16)</f>
        <v>0</v>
      </c>
      <c r="N17" s="30" t="n">
        <f aca="false">IFERROR(M17/$E$3,0)</f>
        <v>0</v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G18" s="10"/>
      <c r="H18" s="10"/>
      <c r="I18" s="14"/>
    </row>
    <row r="19" customFormat="false" ht="15" hidden="false" customHeight="true" outlineLevel="0" collapsed="false">
      <c r="A19" s="10"/>
      <c r="B19" s="11"/>
      <c r="C19" s="10"/>
      <c r="D19" s="10"/>
      <c r="E19" s="14"/>
      <c r="G19" s="10"/>
      <c r="H19" s="10"/>
      <c r="I19" s="14"/>
      <c r="K19" s="6" t="s">
        <v>58</v>
      </c>
      <c r="L19" s="6"/>
      <c r="M19" s="6"/>
      <c r="N19" s="6"/>
    </row>
    <row r="20" customFormat="false" ht="15" hidden="false" customHeight="false" outlineLevel="0" collapsed="false">
      <c r="A20" s="10"/>
      <c r="B20" s="11"/>
      <c r="C20" s="10"/>
      <c r="D20" s="10"/>
      <c r="E20" s="14"/>
      <c r="G20" s="10"/>
      <c r="H20" s="10"/>
      <c r="I20" s="14"/>
      <c r="K20" s="6" t="s">
        <v>59</v>
      </c>
      <c r="L20" s="6" t="s">
        <v>31</v>
      </c>
      <c r="M20" s="6" t="s">
        <v>60</v>
      </c>
      <c r="N20" s="6" t="s">
        <v>61</v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G21" s="10"/>
      <c r="H21" s="10"/>
      <c r="I21" s="14"/>
      <c r="K21" s="10"/>
      <c r="L21" s="14"/>
      <c r="M21" s="11"/>
      <c r="N21" s="10"/>
    </row>
    <row r="22" customFormat="false" ht="15" hidden="false" customHeight="false" outlineLevel="0" collapsed="false">
      <c r="A22" s="10"/>
      <c r="B22" s="11"/>
      <c r="C22" s="10"/>
      <c r="D22" s="10"/>
      <c r="E22" s="14"/>
      <c r="G22" s="10"/>
      <c r="H22" s="10"/>
      <c r="I22" s="14"/>
      <c r="K22" s="10"/>
      <c r="L22" s="14"/>
      <c r="M22" s="11"/>
      <c r="N22" s="10"/>
    </row>
    <row r="23" customFormat="false" ht="15" hidden="false" customHeight="false" outlineLevel="0" collapsed="false">
      <c r="A23" s="10"/>
      <c r="B23" s="11"/>
      <c r="C23" s="10"/>
      <c r="D23" s="10"/>
      <c r="E23" s="14"/>
      <c r="G23" s="10"/>
      <c r="H23" s="10"/>
      <c r="I23" s="14"/>
      <c r="K23" s="10"/>
      <c r="L23" s="14"/>
      <c r="M23" s="11"/>
      <c r="N23" s="10"/>
    </row>
    <row r="24" customFormat="false" ht="15" hidden="false" customHeight="false" outlineLevel="0" collapsed="false">
      <c r="A24" s="10"/>
      <c r="B24" s="11"/>
      <c r="C24" s="10"/>
      <c r="D24" s="10"/>
      <c r="E24" s="14"/>
      <c r="K24" s="10"/>
      <c r="L24" s="14"/>
      <c r="M24" s="11"/>
      <c r="N24" s="10"/>
    </row>
    <row r="25" customFormat="false" ht="15" hidden="false" customHeight="true" outlineLevel="0" collapsed="false">
      <c r="A25" s="10"/>
      <c r="B25" s="11"/>
      <c r="C25" s="10"/>
      <c r="D25" s="10"/>
      <c r="E25" s="14"/>
      <c r="G25" s="6" t="s">
        <v>62</v>
      </c>
      <c r="H25" s="6"/>
      <c r="I25" s="6"/>
      <c r="K25" s="10"/>
      <c r="L25" s="14"/>
      <c r="M25" s="11"/>
      <c r="N25" s="10"/>
    </row>
    <row r="26" customFormat="false" ht="15" hidden="false" customHeight="true" outlineLevel="0" collapsed="false">
      <c r="A26" s="10"/>
      <c r="B26" s="11"/>
      <c r="C26" s="10"/>
      <c r="D26" s="10"/>
      <c r="E26" s="14"/>
      <c r="G26" s="31" t="s">
        <v>63</v>
      </c>
      <c r="H26" s="31"/>
      <c r="I26" s="14"/>
      <c r="K26" s="10"/>
      <c r="L26" s="14"/>
      <c r="M26" s="11"/>
      <c r="N26" s="10"/>
    </row>
    <row r="27" customFormat="false" ht="15" hidden="false" customHeight="true" outlineLevel="0" collapsed="false">
      <c r="A27" s="10"/>
      <c r="B27" s="11"/>
      <c r="C27" s="10"/>
      <c r="D27" s="10"/>
      <c r="E27" s="14"/>
      <c r="G27" s="31" t="s">
        <v>64</v>
      </c>
      <c r="H27" s="31"/>
      <c r="I27" s="14"/>
      <c r="K27" s="10"/>
      <c r="L27" s="14"/>
      <c r="M27" s="11"/>
      <c r="N27" s="10"/>
    </row>
    <row r="28" customFormat="false" ht="15" hidden="false" customHeight="true" outlineLevel="0" collapsed="false">
      <c r="A28" s="10"/>
      <c r="B28" s="11"/>
      <c r="C28" s="10"/>
      <c r="D28" s="10"/>
      <c r="E28" s="14"/>
      <c r="G28" s="32" t="s">
        <v>57</v>
      </c>
      <c r="H28" s="32"/>
      <c r="I28" s="9" t="n">
        <f aca="false">SUM(I26:I27)</f>
        <v>0</v>
      </c>
      <c r="K28" s="10"/>
      <c r="L28" s="14"/>
      <c r="M28" s="11"/>
      <c r="N28" s="10"/>
    </row>
    <row r="29" customFormat="false" ht="15" hidden="false" customHeight="false" outlineLevel="0" collapsed="false">
      <c r="A29" s="10"/>
      <c r="B29" s="11"/>
      <c r="C29" s="10"/>
      <c r="D29" s="10"/>
      <c r="E29" s="14"/>
      <c r="K29" s="10"/>
      <c r="L29" s="14"/>
      <c r="M29" s="11"/>
      <c r="N29" s="10"/>
    </row>
    <row r="30" customFormat="false" ht="15" hidden="false" customHeight="true" outlineLevel="0" collapsed="false">
      <c r="A30" s="10"/>
      <c r="B30" s="11"/>
      <c r="C30" s="10"/>
      <c r="D30" s="10"/>
      <c r="E30" s="14"/>
      <c r="G30" s="6" t="s">
        <v>65</v>
      </c>
      <c r="H30" s="6"/>
      <c r="I30" s="6"/>
      <c r="K30" s="10"/>
      <c r="L30" s="14"/>
      <c r="M30" s="11"/>
      <c r="N30" s="10"/>
    </row>
    <row r="31" customFormat="false" ht="15" hidden="false" customHeight="true" outlineLevel="0" collapsed="false">
      <c r="A31" s="10"/>
      <c r="B31" s="11"/>
      <c r="C31" s="10"/>
      <c r="D31" s="10"/>
      <c r="E31" s="14"/>
      <c r="G31" s="12" t="s">
        <v>36</v>
      </c>
      <c r="H31" s="12"/>
      <c r="I31" s="14" t="n">
        <f aca="false">SUMIF($C$5:$C$64,$G31,$E$5:$E$64)+SUMIF($G$5:$G$12,$G31,$I$5:$I$12)+SUMIF($G$16:$G$23,$G31,$I$16:$I$23)</f>
        <v>0</v>
      </c>
    </row>
    <row r="32" customFormat="false" ht="15" hidden="false" customHeight="true" outlineLevel="0" collapsed="false">
      <c r="A32" s="10"/>
      <c r="B32" s="11"/>
      <c r="C32" s="10"/>
      <c r="D32" s="10"/>
      <c r="E32" s="14"/>
      <c r="G32" s="17" t="s">
        <v>40</v>
      </c>
      <c r="H32" s="17"/>
      <c r="I32" s="14" t="n">
        <f aca="false">SUMIF($C$5:$C$64,$G32,$E$5:$E$64)+SUMIF($G$5:$G$12,$G32,$I$5:$I$12)+SUMIF($G$16:$G$23,$G32,$I$16:$I$23)</f>
        <v>0</v>
      </c>
      <c r="K32" s="6" t="s">
        <v>66</v>
      </c>
      <c r="L32" s="6"/>
      <c r="M32" s="6"/>
      <c r="N32" s="6"/>
    </row>
    <row r="33" customFormat="false" ht="15" hidden="false" customHeight="true" outlineLevel="0" collapsed="false">
      <c r="A33" s="10"/>
      <c r="B33" s="11"/>
      <c r="C33" s="10"/>
      <c r="D33" s="10"/>
      <c r="E33" s="14"/>
      <c r="G33" s="18" t="s">
        <v>42</v>
      </c>
      <c r="H33" s="18"/>
      <c r="I33" s="14" t="n">
        <f aca="false">SUMIF($C$5:$C$64,$G33,$E$5:$E$64)+SUMIF($G$5:$G$12,$G33,$I$5:$I$12)+SUMIF($G$16:$G$23,$G33,$I$16:$I$23)</f>
        <v>0</v>
      </c>
      <c r="K33" s="31" t="s">
        <v>67</v>
      </c>
      <c r="L33" s="31"/>
      <c r="M33" s="31"/>
      <c r="N33" s="33" t="n">
        <f aca="false">COUNT($E$5:$E$64)</f>
        <v>0</v>
      </c>
    </row>
    <row r="34" customFormat="false" ht="15" hidden="false" customHeight="true" outlineLevel="0" collapsed="false">
      <c r="A34" s="10"/>
      <c r="B34" s="11"/>
      <c r="C34" s="10"/>
      <c r="D34" s="10"/>
      <c r="E34" s="14"/>
      <c r="G34" s="23" t="s">
        <v>49</v>
      </c>
      <c r="H34" s="23"/>
      <c r="I34" s="14" t="n">
        <f aca="false">SUMIF($C$5:$C$64,$G34,$E$5:$E$64)+SUMIF($G$5:$G$12,$G34,$I$5:$I$12)+SUMIF($G$16:$G$23,$G34,$I$16:$I$23)</f>
        <v>0</v>
      </c>
      <c r="K34" s="31" t="s">
        <v>68</v>
      </c>
      <c r="L34" s="31"/>
      <c r="M34" s="31"/>
      <c r="N34" s="14" t="n">
        <f aca="false">IF(COUNT($E$5:$E$64)=0,0,MAX($E$5:$E$64))</f>
        <v>0</v>
      </c>
    </row>
    <row r="35" customFormat="false" ht="15" hidden="false" customHeight="true" outlineLevel="0" collapsed="false">
      <c r="A35" s="10"/>
      <c r="B35" s="11"/>
      <c r="C35" s="10"/>
      <c r="D35" s="10"/>
      <c r="E35" s="14"/>
      <c r="G35" s="34" t="s">
        <v>69</v>
      </c>
      <c r="H35" s="34"/>
      <c r="I35" s="14" t="n">
        <f aca="false">SUMIF($C$5:$C$64,$G35,$E$5:$E$64)+SUMIF($G$5:$G$12,$G35,$I$5:$I$12)+SUMIF($G$16:$G$23,$G35,$I$16:$I$23)</f>
        <v>0</v>
      </c>
      <c r="K35" s="31" t="s">
        <v>70</v>
      </c>
      <c r="L35" s="31"/>
      <c r="M35" s="31"/>
      <c r="N35" s="33" t="str">
        <f aca="false">IF($E$3=0,"—",INDEX($A$5:$A$64,MATCH(MAX($E$5:$E$64),$E$5:$E$64,0)))</f>
        <v>—</v>
      </c>
    </row>
    <row r="36" customFormat="false" ht="15" hidden="false" customHeight="true" outlineLevel="0" collapsed="false">
      <c r="A36" s="10"/>
      <c r="B36" s="11"/>
      <c r="C36" s="10"/>
      <c r="D36" s="10"/>
      <c r="E36" s="14"/>
      <c r="G36" s="28" t="s">
        <v>56</v>
      </c>
      <c r="H36" s="28"/>
      <c r="I36" s="14" t="n">
        <f aca="false">SUMIF($C$5:$C$64,$G36,$E$5:$E$64)+SUMIF($G$5:$G$12,$G36,$I$5:$I$12)+SUMIF($G$16:$G$23,$G36,$I$16:$I$23)</f>
        <v>0</v>
      </c>
      <c r="K36" s="31" t="s">
        <v>71</v>
      </c>
      <c r="L36" s="31"/>
      <c r="M36" s="31"/>
      <c r="N36" s="33" t="str">
        <f aca="false">IF($E$3=0,"—",INDEX($K$5:$K$16,MATCH(MAX($M$5:$M$16),$M$5:$M$16,0)))</f>
        <v>—</v>
      </c>
    </row>
    <row r="37" customFormat="false" ht="15" hidden="false" customHeight="true" outlineLevel="0" collapsed="false">
      <c r="A37" s="10"/>
      <c r="B37" s="11"/>
      <c r="C37" s="10"/>
      <c r="D37" s="10"/>
      <c r="E37" s="14"/>
      <c r="G37" s="10" t="s">
        <v>72</v>
      </c>
      <c r="H37" s="10"/>
      <c r="I37" s="14"/>
      <c r="K37" s="31" t="s">
        <v>73</v>
      </c>
      <c r="L37" s="31"/>
      <c r="M37" s="31"/>
      <c r="N37" s="14" t="n">
        <f aca="false">IFERROR(AVERAGE($E$5:$E$64),0)</f>
        <v>0</v>
      </c>
    </row>
    <row r="38" customFormat="false" ht="15" hidden="false" customHeight="true" outlineLevel="0" collapsed="false">
      <c r="A38" s="10"/>
      <c r="B38" s="11"/>
      <c r="C38" s="10"/>
      <c r="D38" s="10"/>
      <c r="E38" s="14"/>
      <c r="G38" s="10" t="s">
        <v>74</v>
      </c>
      <c r="H38" s="10"/>
      <c r="I38" s="14"/>
      <c r="K38" s="31" t="s">
        <v>75</v>
      </c>
      <c r="L38" s="31"/>
      <c r="M38" s="31"/>
      <c r="N38" s="14" t="n">
        <f aca="false">IFERROR($E$3/DAY(EOMONTH(DATE(2026,9,1),0)),0)</f>
        <v>0</v>
      </c>
    </row>
    <row r="39" customFormat="false" ht="15" hidden="false" customHeight="true" outlineLevel="0" collapsed="false">
      <c r="A39" s="10"/>
      <c r="B39" s="11"/>
      <c r="C39" s="10"/>
      <c r="D39" s="10"/>
      <c r="E39" s="14"/>
      <c r="G39" s="29" t="s">
        <v>76</v>
      </c>
      <c r="H39" s="29"/>
      <c r="I39" s="9" t="n">
        <f aca="false">SUM(I31:I38)</f>
        <v>0</v>
      </c>
      <c r="K39" s="31" t="s">
        <v>77</v>
      </c>
      <c r="L39" s="31"/>
      <c r="M39" s="31"/>
      <c r="N39" s="16" t="n">
        <f aca="false">IFERROR($I$39/$I$28,0)</f>
        <v>0</v>
      </c>
    </row>
    <row r="40" customFormat="false" ht="15" hidden="false" customHeight="false" outlineLevel="0" collapsed="false">
      <c r="A40" s="10"/>
      <c r="B40" s="11"/>
      <c r="C40" s="10"/>
      <c r="D40" s="10"/>
      <c r="E40" s="14"/>
    </row>
    <row r="41" customFormat="false" ht="15" hidden="false" customHeight="true" outlineLevel="0" collapsed="false">
      <c r="A41" s="10"/>
      <c r="B41" s="11"/>
      <c r="C41" s="10"/>
      <c r="D41" s="10"/>
      <c r="E41" s="14"/>
      <c r="G41" s="6" t="s">
        <v>78</v>
      </c>
      <c r="H41" s="6"/>
      <c r="I41" s="6"/>
    </row>
    <row r="42" customFormat="false" ht="15" hidden="false" customHeight="true" outlineLevel="0" collapsed="false">
      <c r="A42" s="10"/>
      <c r="B42" s="11"/>
      <c r="C42" s="10"/>
      <c r="D42" s="10"/>
      <c r="E42" s="14"/>
      <c r="G42" s="10" t="s">
        <v>72</v>
      </c>
      <c r="H42" s="10"/>
      <c r="I42" s="14"/>
    </row>
    <row r="43" customFormat="false" ht="15" hidden="false" customHeight="true" outlineLevel="0" collapsed="false">
      <c r="A43" s="10"/>
      <c r="B43" s="11"/>
      <c r="C43" s="10"/>
      <c r="D43" s="10"/>
      <c r="E43" s="14"/>
      <c r="G43" s="10" t="s">
        <v>79</v>
      </c>
      <c r="H43" s="10"/>
      <c r="I43" s="14"/>
    </row>
    <row r="44" customFormat="false" ht="15" hidden="false" customHeight="true" outlineLevel="0" collapsed="false">
      <c r="A44" s="10"/>
      <c r="B44" s="11"/>
      <c r="C44" s="10"/>
      <c r="D44" s="10"/>
      <c r="E44" s="14"/>
      <c r="G44" s="29" t="s">
        <v>57</v>
      </c>
      <c r="H44" s="29"/>
      <c r="I44" s="9" t="n">
        <f aca="false">SUM(I42:I43)</f>
        <v>0</v>
      </c>
    </row>
    <row r="45" customFormat="false" ht="15" hidden="false" customHeight="false" outlineLevel="0" collapsed="false">
      <c r="A45" s="10"/>
      <c r="B45" s="11"/>
      <c r="C45" s="10"/>
      <c r="D45" s="10"/>
      <c r="E45" s="14"/>
    </row>
    <row r="46" customFormat="false" ht="15" hidden="false" customHeight="true" outlineLevel="0" collapsed="false">
      <c r="A46" s="10"/>
      <c r="B46" s="11"/>
      <c r="C46" s="10"/>
      <c r="D46" s="10"/>
      <c r="E46" s="14"/>
      <c r="G46" s="6" t="s">
        <v>80</v>
      </c>
      <c r="H46" s="6"/>
      <c r="I46" s="6"/>
    </row>
    <row r="47" customFormat="false" ht="31.5" hidden="false" customHeight="true" outlineLevel="0" collapsed="false">
      <c r="A47" s="10"/>
      <c r="B47" s="11"/>
      <c r="C47" s="10"/>
      <c r="D47" s="10"/>
      <c r="E47" s="14"/>
      <c r="G47" s="35" t="n">
        <f aca="false">I28-I39</f>
        <v>0</v>
      </c>
      <c r="H47" s="35"/>
      <c r="I47" s="35"/>
    </row>
    <row r="48" customFormat="false" ht="15" hidden="false" customHeight="false" outlineLevel="0" collapsed="false">
      <c r="A48" s="10"/>
      <c r="B48" s="11"/>
      <c r="C48" s="10"/>
      <c r="D48" s="10"/>
      <c r="E48" s="14"/>
    </row>
    <row r="49" customFormat="false" ht="15" hidden="false" customHeight="false" outlineLevel="0" collapsed="false">
      <c r="A49" s="10"/>
      <c r="B49" s="11"/>
      <c r="C49" s="10"/>
      <c r="D49" s="10"/>
      <c r="E49" s="14"/>
    </row>
    <row r="50" customFormat="false" ht="15" hidden="false" customHeight="false" outlineLevel="0" collapsed="false">
      <c r="A50" s="10"/>
      <c r="B50" s="11"/>
      <c r="C50" s="10"/>
      <c r="D50" s="10"/>
      <c r="E50" s="14"/>
    </row>
    <row r="51" customFormat="false" ht="15" hidden="false" customHeight="false" outlineLevel="0" collapsed="false">
      <c r="A51" s="10"/>
      <c r="B51" s="11"/>
      <c r="C51" s="10"/>
      <c r="D51" s="10"/>
      <c r="E51" s="14"/>
    </row>
    <row r="52" customFormat="false" ht="15" hidden="false" customHeight="false" outlineLevel="0" collapsed="false">
      <c r="A52" s="10"/>
      <c r="B52" s="11"/>
      <c r="C52" s="10"/>
      <c r="D52" s="10"/>
      <c r="E52" s="14"/>
    </row>
    <row r="53" customFormat="false" ht="15" hidden="false" customHeight="false" outlineLevel="0" collapsed="false">
      <c r="A53" s="10"/>
      <c r="B53" s="11"/>
      <c r="C53" s="10"/>
      <c r="D53" s="10"/>
      <c r="E53" s="14"/>
    </row>
    <row r="54" customFormat="false" ht="15" hidden="false" customHeight="false" outlineLevel="0" collapsed="false">
      <c r="A54" s="10"/>
      <c r="B54" s="11"/>
      <c r="C54" s="10"/>
      <c r="D54" s="10"/>
      <c r="E54" s="14"/>
    </row>
    <row r="55" customFormat="false" ht="15" hidden="false" customHeight="false" outlineLevel="0" collapsed="false">
      <c r="A55" s="10"/>
      <c r="B55" s="11"/>
      <c r="C55" s="10"/>
      <c r="D55" s="10"/>
      <c r="E55" s="14"/>
    </row>
    <row r="56" customFormat="false" ht="15" hidden="false" customHeight="false" outlineLevel="0" collapsed="false">
      <c r="A56" s="10"/>
      <c r="B56" s="11"/>
      <c r="C56" s="10"/>
      <c r="D56" s="10"/>
      <c r="E56" s="14"/>
    </row>
    <row r="57" customFormat="false" ht="15" hidden="false" customHeight="false" outlineLevel="0" collapsed="false">
      <c r="A57" s="10"/>
      <c r="B57" s="11"/>
      <c r="C57" s="10"/>
      <c r="D57" s="10"/>
      <c r="E57" s="14"/>
    </row>
    <row r="58" customFormat="false" ht="15" hidden="false" customHeight="false" outlineLevel="0" collapsed="false">
      <c r="A58" s="10"/>
      <c r="B58" s="11"/>
      <c r="C58" s="10"/>
      <c r="D58" s="10"/>
      <c r="E58" s="14"/>
    </row>
    <row r="59" customFormat="false" ht="15" hidden="false" customHeight="false" outlineLevel="0" collapsed="false">
      <c r="A59" s="10"/>
      <c r="B59" s="11"/>
      <c r="C59" s="10"/>
      <c r="D59" s="10"/>
      <c r="E59" s="14"/>
    </row>
    <row r="60" customFormat="false" ht="15" hidden="false" customHeight="false" outlineLevel="0" collapsed="false">
      <c r="A60" s="10"/>
      <c r="B60" s="11"/>
      <c r="C60" s="10"/>
      <c r="D60" s="10"/>
      <c r="E60" s="14"/>
    </row>
    <row r="61" customFormat="false" ht="15" hidden="false" customHeight="false" outlineLevel="0" collapsed="false">
      <c r="A61" s="10"/>
      <c r="B61" s="11"/>
      <c r="C61" s="10"/>
      <c r="D61" s="10"/>
      <c r="E61" s="14"/>
    </row>
    <row r="62" customFormat="false" ht="15" hidden="false" customHeight="false" outlineLevel="0" collapsed="false">
      <c r="A62" s="10"/>
      <c r="B62" s="11"/>
      <c r="C62" s="10"/>
      <c r="D62" s="10"/>
      <c r="E62" s="14"/>
    </row>
    <row r="63" customFormat="false" ht="15" hidden="false" customHeight="false" outlineLevel="0" collapsed="false">
      <c r="A63" s="10"/>
      <c r="B63" s="11"/>
      <c r="C63" s="10"/>
      <c r="D63" s="10"/>
      <c r="E63" s="14"/>
    </row>
    <row r="64" customFormat="false" ht="15" hidden="false" customHeight="false" outlineLevel="0" collapsed="false">
      <c r="A64" s="10"/>
      <c r="B64" s="11"/>
      <c r="C64" s="10"/>
      <c r="D64" s="10"/>
      <c r="E64" s="14"/>
    </row>
  </sheetData>
  <mergeCells count="34">
    <mergeCell ref="A1:N1"/>
    <mergeCell ref="A3:C3"/>
    <mergeCell ref="G3:H3"/>
    <mergeCell ref="K3:N3"/>
    <mergeCell ref="G14:H14"/>
    <mergeCell ref="K19:N19"/>
    <mergeCell ref="G25:I25"/>
    <mergeCell ref="G26:H26"/>
    <mergeCell ref="G27:H27"/>
    <mergeCell ref="G28:H28"/>
    <mergeCell ref="G30:I30"/>
    <mergeCell ref="G31:H31"/>
    <mergeCell ref="G32:H32"/>
    <mergeCell ref="K32:N32"/>
    <mergeCell ref="G33:H33"/>
    <mergeCell ref="K33:M33"/>
    <mergeCell ref="G34:H34"/>
    <mergeCell ref="K34:M34"/>
    <mergeCell ref="G35:H35"/>
    <mergeCell ref="K35:M35"/>
    <mergeCell ref="G36:H36"/>
    <mergeCell ref="K36:M36"/>
    <mergeCell ref="G37:H37"/>
    <mergeCell ref="K37:M37"/>
    <mergeCell ref="G38:H38"/>
    <mergeCell ref="K38:M38"/>
    <mergeCell ref="G39:H39"/>
    <mergeCell ref="K39:M39"/>
    <mergeCell ref="G41:I41"/>
    <mergeCell ref="G42:H42"/>
    <mergeCell ref="G43:H43"/>
    <mergeCell ref="G44:H44"/>
    <mergeCell ref="G46:I46"/>
    <mergeCell ref="G47:I47"/>
  </mergeCells>
  <conditionalFormatting sqref="C5:C64">
    <cfRule type="containsText" priority="2" operator="containsText" aboveAverage="0" equalAverage="0" bottom="0" percent="0" rank="0" text="Débito" dxfId="0">
      <formula>NOT(ISERROR(SEARCH("Débito",C5)))</formula>
    </cfRule>
    <cfRule type="containsText" priority="3" operator="containsText" aboveAverage="0" equalAverage="0" bottom="0" percent="0" rank="0" text="Crédito" dxfId="1">
      <formula>NOT(ISERROR(SEARCH("Crédito",C5)))</formula>
    </cfRule>
    <cfRule type="containsText" priority="4" operator="containsText" aboveAverage="0" equalAverage="0" bottom="0" percent="0" rank="0" text="Pix" dxfId="2">
      <formula>NOT(ISERROR(SEARCH("Pix",C5)))</formula>
    </cfRule>
    <cfRule type="containsText" priority="5" operator="containsText" aboveAverage="0" equalAverage="0" bottom="0" percent="0" rank="0" text="Dinheiro" dxfId="3">
      <formula>NOT(ISERROR(SEARCH("Dinheiro",C5)))</formula>
    </cfRule>
    <cfRule type="containsText" priority="6" operator="containsText" aboveAverage="0" equalAverage="0" bottom="0" percent="0" rank="0" text="Voucher" dxfId="4">
      <formula>NOT(ISERROR(SEARCH("Voucher",C5)))</formula>
    </cfRule>
    <cfRule type="containsText" priority="7" operator="containsText" aboveAverage="0" equalAverage="0" bottom="0" percent="0" rank="0" text="Outros" dxfId="5">
      <formula>NOT(ISERROR(SEARCH("Outros",C5)))</formula>
    </cfRule>
  </conditionalFormatting>
  <conditionalFormatting sqref="D5:D64">
    <cfRule type="containsText" priority="8" operator="containsText" aboveAverage="0" equalAverage="0" bottom="0" percent="0" rank="0" text="Mercado" dxfId="6">
      <formula>NOT(ISERROR(SEARCH("Mercado",D5)))</formula>
    </cfRule>
    <cfRule type="containsText" priority="9" operator="containsText" aboveAverage="0" equalAverage="0" bottom="0" percent="0" rank="0" text="Alimentação" dxfId="7">
      <formula>NOT(ISERROR(SEARCH("Alimentação",D5)))</formula>
    </cfRule>
    <cfRule type="containsText" priority="10" operator="containsText" aboveAverage="0" equalAverage="0" bottom="0" percent="0" rank="0" text="Farmácia" dxfId="8">
      <formula>NOT(ISERROR(SEARCH("Farmácia",D5)))</formula>
    </cfRule>
    <cfRule type="containsText" priority="11" operator="containsText" aboveAverage="0" equalAverage="0" bottom="0" percent="0" rank="0" text="Combustível" dxfId="9">
      <formula>NOT(ISERROR(SEARCH("Combustível",D5)))</formula>
    </cfRule>
    <cfRule type="containsText" priority="12" operator="containsText" aboveAverage="0" equalAverage="0" bottom="0" percent="0" rank="0" text="Transporte" dxfId="10">
      <formula>NOT(ISERROR(SEARCH("Transporte",D5)))</formula>
    </cfRule>
    <cfRule type="containsText" priority="13" operator="containsText" aboveAverage="0" equalAverage="0" bottom="0" percent="0" rank="0" text="Vestuário" dxfId="1">
      <formula>NOT(ISERROR(SEARCH("Vestuário",D5)))</formula>
    </cfRule>
    <cfRule type="containsText" priority="14" operator="containsText" aboveAverage="0" equalAverage="0" bottom="0" percent="0" rank="0" text="Eletrônicos" dxfId="11">
      <formula>NOT(ISERROR(SEARCH("Eletrônicos",D5)))</formula>
    </cfRule>
    <cfRule type="containsText" priority="15" operator="containsText" aboveAverage="0" equalAverage="0" bottom="0" percent="0" rank="0" text="Casa" dxfId="12">
      <formula>NOT(ISERROR(SEARCH("Casa",D5)))</formula>
    </cfRule>
    <cfRule type="containsText" priority="16" operator="containsText" aboveAverage="0" equalAverage="0" bottom="0" percent="0" rank="0" text="Saúde" dxfId="13">
      <formula>NOT(ISERROR(SEARCH("Saúde",D5)))</formula>
    </cfRule>
    <cfRule type="containsText" priority="17" operator="containsText" aboveAverage="0" equalAverage="0" bottom="0" percent="0" rank="0" text="Lazer" dxfId="14">
      <formula>NOT(ISERROR(SEARCH("Lazer",D5)))</formula>
    </cfRule>
    <cfRule type="containsText" priority="18" operator="containsText" aboveAverage="0" equalAverage="0" bottom="0" percent="0" rank="0" text="Serviços" dxfId="15">
      <formula>NOT(ISERROR(SEARCH("Serviços",D5)))</formula>
    </cfRule>
    <cfRule type="containsText" priority="19" operator="containsText" aboveAverage="0" equalAverage="0" bottom="0" percent="0" rank="0" text="Outros" dxfId="5">
      <formula>NOT(ISERROR(SEARCH("Outros",D5)))</formula>
    </cfRule>
  </conditionalFormatting>
  <dataValidations count="3">
    <dataValidation allowBlank="true" errorStyle="stop" operator="between" showDropDown="false" showErrorMessage="false" showInputMessage="false" sqref="D5:D24 H5:H12 H16:H23 D25:D64" type="list">
      <formula1>"Alimentação,Mercado,Farmácia,Combustível,Transporte,Vestuário,Eletrônicos,Casa,Saúde,Lazer,Serviços,Outros"</formula1>
      <formula2>0</formula2>
    </dataValidation>
    <dataValidation allowBlank="true" errorStyle="stop" operator="between" showDropDown="false" showErrorMessage="false" showInputMessage="false" sqref="C5:C24 G5:G12 G16:G23 C25:C64" type="list">
      <formula1>"Débito,Crédito,Pix,Dinheiro,Voucher,Outros"</formula1>
      <formula2>0</formula2>
    </dataValidation>
    <dataValidation allowBlank="true" errorStyle="stop" operator="between" showDropDown="false" showErrorMessage="false" showInputMessage="false" sqref="N21:N3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88A89"/>
    <pageSetUpPr fitToPage="false"/>
  </sheetPr>
  <dimension ref="A1:N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2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2"/>
    <col collapsed="false" customWidth="true" hidden="false" outlineLevel="0" max="11" min="11" style="0" width="17"/>
    <col collapsed="false" customWidth="true" hidden="false" outlineLevel="0" max="12" min="12" style="0" width="13"/>
    <col collapsed="false" customWidth="true" hidden="false" outlineLevel="0" max="14" min="13" style="0" width="12"/>
    <col collapsed="false" customWidth="true" hidden="false" outlineLevel="0" max="15" min="15" style="0" width="2"/>
  </cols>
  <sheetData>
    <row r="1" customFormat="false" ht="33.75" hidden="false" customHeight="true" outlineLevel="0" collapsed="false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9.7" hidden="false" customHeight="true" outlineLevel="0" collapsed="false">
      <c r="A3" s="6" t="s">
        <v>23</v>
      </c>
      <c r="B3" s="6"/>
      <c r="C3" s="6"/>
      <c r="D3" s="7" t="s">
        <v>24</v>
      </c>
      <c r="E3" s="8" t="n">
        <f aca="false">SUM(E5:E64)</f>
        <v>0</v>
      </c>
      <c r="G3" s="6" t="s">
        <v>25</v>
      </c>
      <c r="H3" s="6"/>
      <c r="I3" s="9" t="n">
        <f aca="false">SUM(I5:I12)</f>
        <v>0</v>
      </c>
      <c r="K3" s="6" t="s">
        <v>26</v>
      </c>
      <c r="L3" s="6"/>
      <c r="M3" s="6"/>
      <c r="N3" s="6"/>
    </row>
    <row r="4" customFormat="false" ht="15" hidden="false" customHeight="false" outlineLevel="0" collapsed="false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G4" s="6" t="s">
        <v>29</v>
      </c>
      <c r="H4" s="6" t="s">
        <v>30</v>
      </c>
      <c r="I4" s="6" t="s">
        <v>31</v>
      </c>
      <c r="K4" s="6" t="s">
        <v>30</v>
      </c>
      <c r="L4" s="6" t="s">
        <v>32</v>
      </c>
      <c r="M4" s="6" t="s">
        <v>33</v>
      </c>
      <c r="N4" s="6" t="s">
        <v>34</v>
      </c>
    </row>
    <row r="5" customFormat="false" ht="15" hidden="false" customHeight="false" outlineLevel="0" collapsed="false">
      <c r="A5" s="10"/>
      <c r="B5" s="11"/>
      <c r="C5" s="10"/>
      <c r="D5" s="10"/>
      <c r="E5" s="14"/>
      <c r="G5" s="10"/>
      <c r="H5" s="10"/>
      <c r="I5" s="14"/>
      <c r="K5" s="15" t="s">
        <v>38</v>
      </c>
      <c r="L5" s="14"/>
      <c r="M5" s="14" t="n">
        <f aca="false">SUMIF($D$5:$D$64,$K5,$E$5:$E$64)</f>
        <v>0</v>
      </c>
      <c r="N5" s="16" t="n">
        <f aca="false">IFERROR(M5/$E$3,0)</f>
        <v>0</v>
      </c>
    </row>
    <row r="6" customFormat="false" ht="15" hidden="false" customHeight="false" outlineLevel="0" collapsed="false">
      <c r="A6" s="10"/>
      <c r="B6" s="11"/>
      <c r="C6" s="10"/>
      <c r="D6" s="10"/>
      <c r="E6" s="14"/>
      <c r="G6" s="10"/>
      <c r="H6" s="10"/>
      <c r="I6" s="14"/>
      <c r="K6" s="13" t="s">
        <v>37</v>
      </c>
      <c r="L6" s="14"/>
      <c r="M6" s="14" t="n">
        <f aca="false">SUMIF($D$5:$D$64,$K6,$E$5:$E$64)</f>
        <v>0</v>
      </c>
      <c r="N6" s="16" t="n">
        <f aca="false">IFERROR(M6/$E$3,0)</f>
        <v>0</v>
      </c>
    </row>
    <row r="7" customFormat="false" ht="15" hidden="false" customHeight="false" outlineLevel="0" collapsed="false">
      <c r="A7" s="10"/>
      <c r="B7" s="11"/>
      <c r="C7" s="10"/>
      <c r="D7" s="10"/>
      <c r="E7" s="14"/>
      <c r="G7" s="10"/>
      <c r="H7" s="10"/>
      <c r="I7" s="14"/>
      <c r="K7" s="20" t="s">
        <v>44</v>
      </c>
      <c r="L7" s="14"/>
      <c r="M7" s="14" t="n">
        <f aca="false">SUMIF($D$5:$D$64,$K7,$E$5:$E$64)</f>
        <v>0</v>
      </c>
      <c r="N7" s="16" t="n">
        <f aca="false">IFERROR(M7/$E$3,0)</f>
        <v>0</v>
      </c>
    </row>
    <row r="8" customFormat="false" ht="15" hidden="false" customHeight="false" outlineLevel="0" collapsed="false">
      <c r="A8" s="10"/>
      <c r="B8" s="11"/>
      <c r="C8" s="10"/>
      <c r="D8" s="10"/>
      <c r="E8" s="14"/>
      <c r="G8" s="10"/>
      <c r="H8" s="10"/>
      <c r="I8" s="14"/>
      <c r="K8" s="22" t="s">
        <v>47</v>
      </c>
      <c r="L8" s="14"/>
      <c r="M8" s="14" t="n">
        <f aca="false">SUMIF($D$5:$D$64,$K8,$E$5:$E$64)</f>
        <v>0</v>
      </c>
      <c r="N8" s="16" t="n">
        <f aca="false">IFERROR(M8/$E$3,0)</f>
        <v>0</v>
      </c>
    </row>
    <row r="9" customFormat="false" ht="15" hidden="false" customHeight="false" outlineLevel="0" collapsed="false">
      <c r="A9" s="10"/>
      <c r="B9" s="11"/>
      <c r="C9" s="10"/>
      <c r="D9" s="10"/>
      <c r="E9" s="14"/>
      <c r="G9" s="10"/>
      <c r="H9" s="10"/>
      <c r="I9" s="14"/>
      <c r="K9" s="19" t="s">
        <v>43</v>
      </c>
      <c r="L9" s="14"/>
      <c r="M9" s="14" t="n">
        <f aca="false">SUMIF($D$5:$D$64,$K9,$E$5:$E$64)</f>
        <v>0</v>
      </c>
      <c r="N9" s="16" t="n">
        <f aca="false">IFERROR(M9/$E$3,0)</f>
        <v>0</v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G10" s="10"/>
      <c r="H10" s="10"/>
      <c r="I10" s="14"/>
      <c r="K10" s="17" t="s">
        <v>50</v>
      </c>
      <c r="L10" s="14"/>
      <c r="M10" s="14" t="n">
        <f aca="false">SUMIF($D$5:$D$64,$K10,$E$5:$E$64)</f>
        <v>0</v>
      </c>
      <c r="N10" s="16" t="n">
        <f aca="false">IFERROR(M10/$E$3,0)</f>
        <v>0</v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G11" s="10"/>
      <c r="H11" s="10"/>
      <c r="I11" s="14"/>
      <c r="K11" s="24" t="s">
        <v>51</v>
      </c>
      <c r="L11" s="14"/>
      <c r="M11" s="14" t="n">
        <f aca="false">SUMIF($D$5:$D$64,$K11,$E$5:$E$64)</f>
        <v>0</v>
      </c>
      <c r="N11" s="16" t="n">
        <f aca="false">IFERROR(M11/$E$3,0)</f>
        <v>0</v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G12" s="10"/>
      <c r="H12" s="10"/>
      <c r="I12" s="14"/>
      <c r="K12" s="21" t="s">
        <v>46</v>
      </c>
      <c r="L12" s="14"/>
      <c r="M12" s="14" t="n">
        <f aca="false">SUMIF($D$5:$D$64,$K12,$E$5:$E$64)</f>
        <v>0</v>
      </c>
      <c r="N12" s="16" t="n">
        <f aca="false">IFERROR(M12/$E$3,0)</f>
        <v>0</v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K13" s="25" t="s">
        <v>52</v>
      </c>
      <c r="L13" s="14"/>
      <c r="M13" s="14" t="n">
        <f aca="false">SUMIF($D$5:$D$64,$K13,$E$5:$E$64)</f>
        <v>0</v>
      </c>
      <c r="N13" s="16" t="n">
        <f aca="false">IFERROR(M13/$E$3,0)</f>
        <v>0</v>
      </c>
    </row>
    <row r="14" customFormat="false" ht="26.85" hidden="false" customHeight="true" outlineLevel="0" collapsed="false">
      <c r="A14" s="10"/>
      <c r="B14" s="11"/>
      <c r="C14" s="10"/>
      <c r="D14" s="10"/>
      <c r="E14" s="14"/>
      <c r="G14" s="6" t="s">
        <v>53</v>
      </c>
      <c r="H14" s="6"/>
      <c r="I14" s="9" t="n">
        <f aca="false">SUM(I16:I23)</f>
        <v>0</v>
      </c>
      <c r="K14" s="26" t="s">
        <v>54</v>
      </c>
      <c r="L14" s="14"/>
      <c r="M14" s="14" t="n">
        <f aca="false">SUMIF($D$5:$D$64,$K14,$E$5:$E$64)</f>
        <v>0</v>
      </c>
      <c r="N14" s="16" t="n">
        <f aca="false">IFERROR(M14/$E$3,0)</f>
        <v>0</v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G15" s="6" t="s">
        <v>29</v>
      </c>
      <c r="H15" s="6" t="s">
        <v>30</v>
      </c>
      <c r="I15" s="6" t="s">
        <v>31</v>
      </c>
      <c r="K15" s="27" t="s">
        <v>55</v>
      </c>
      <c r="L15" s="14"/>
      <c r="M15" s="14" t="n">
        <f aca="false">SUMIF($D$5:$D$64,$K15,$E$5:$E$64)</f>
        <v>0</v>
      </c>
      <c r="N15" s="16" t="n">
        <f aca="false">IFERROR(M15/$E$3,0)</f>
        <v>0</v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G16" s="10"/>
      <c r="H16" s="10"/>
      <c r="I16" s="14"/>
      <c r="K16" s="28" t="s">
        <v>56</v>
      </c>
      <c r="L16" s="14"/>
      <c r="M16" s="14" t="n">
        <f aca="false">SUMIF($D$5:$D$64,$K16,$E$5:$E$64)</f>
        <v>0</v>
      </c>
      <c r="N16" s="16" t="n">
        <f aca="false">IFERROR(M16/$E$3,0)</f>
        <v>0</v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G17" s="10"/>
      <c r="H17" s="10"/>
      <c r="I17" s="14"/>
      <c r="K17" s="29" t="s">
        <v>57</v>
      </c>
      <c r="L17" s="9" t="n">
        <f aca="false">SUM(L5:L16)</f>
        <v>0</v>
      </c>
      <c r="M17" s="9" t="n">
        <f aca="false">SUM(M5:M16)</f>
        <v>0</v>
      </c>
      <c r="N17" s="30" t="n">
        <f aca="false">IFERROR(M17/$E$3,0)</f>
        <v>0</v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G18" s="10"/>
      <c r="H18" s="10"/>
      <c r="I18" s="14"/>
    </row>
    <row r="19" customFormat="false" ht="15" hidden="false" customHeight="true" outlineLevel="0" collapsed="false">
      <c r="A19" s="10"/>
      <c r="B19" s="11"/>
      <c r="C19" s="10"/>
      <c r="D19" s="10"/>
      <c r="E19" s="14"/>
      <c r="G19" s="10"/>
      <c r="H19" s="10"/>
      <c r="I19" s="14"/>
      <c r="K19" s="6" t="s">
        <v>58</v>
      </c>
      <c r="L19" s="6"/>
      <c r="M19" s="6"/>
      <c r="N19" s="6"/>
    </row>
    <row r="20" customFormat="false" ht="15" hidden="false" customHeight="false" outlineLevel="0" collapsed="false">
      <c r="A20" s="10"/>
      <c r="B20" s="11"/>
      <c r="C20" s="10"/>
      <c r="D20" s="10"/>
      <c r="E20" s="14"/>
      <c r="G20" s="10"/>
      <c r="H20" s="10"/>
      <c r="I20" s="14"/>
      <c r="K20" s="6" t="s">
        <v>59</v>
      </c>
      <c r="L20" s="6" t="s">
        <v>31</v>
      </c>
      <c r="M20" s="6" t="s">
        <v>60</v>
      </c>
      <c r="N20" s="6" t="s">
        <v>61</v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G21" s="10"/>
      <c r="H21" s="10"/>
      <c r="I21" s="14"/>
      <c r="K21" s="10"/>
      <c r="L21" s="14"/>
      <c r="M21" s="11"/>
      <c r="N21" s="10"/>
    </row>
    <row r="22" customFormat="false" ht="15" hidden="false" customHeight="false" outlineLevel="0" collapsed="false">
      <c r="A22" s="10"/>
      <c r="B22" s="11"/>
      <c r="C22" s="10"/>
      <c r="D22" s="10"/>
      <c r="E22" s="14"/>
      <c r="G22" s="10"/>
      <c r="H22" s="10"/>
      <c r="I22" s="14"/>
      <c r="K22" s="10"/>
      <c r="L22" s="14"/>
      <c r="M22" s="11"/>
      <c r="N22" s="10"/>
    </row>
    <row r="23" customFormat="false" ht="15" hidden="false" customHeight="false" outlineLevel="0" collapsed="false">
      <c r="A23" s="10"/>
      <c r="B23" s="11"/>
      <c r="C23" s="10"/>
      <c r="D23" s="10"/>
      <c r="E23" s="14"/>
      <c r="G23" s="10"/>
      <c r="H23" s="10"/>
      <c r="I23" s="14"/>
      <c r="K23" s="10"/>
      <c r="L23" s="14"/>
      <c r="M23" s="11"/>
      <c r="N23" s="10"/>
    </row>
    <row r="24" customFormat="false" ht="15" hidden="false" customHeight="false" outlineLevel="0" collapsed="false">
      <c r="A24" s="10"/>
      <c r="B24" s="11"/>
      <c r="C24" s="10"/>
      <c r="D24" s="10"/>
      <c r="E24" s="14"/>
      <c r="K24" s="10"/>
      <c r="L24" s="14"/>
      <c r="M24" s="11"/>
      <c r="N24" s="10"/>
    </row>
    <row r="25" customFormat="false" ht="15" hidden="false" customHeight="true" outlineLevel="0" collapsed="false">
      <c r="A25" s="10"/>
      <c r="B25" s="11"/>
      <c r="C25" s="10"/>
      <c r="D25" s="10"/>
      <c r="E25" s="14"/>
      <c r="G25" s="6" t="s">
        <v>62</v>
      </c>
      <c r="H25" s="6"/>
      <c r="I25" s="6"/>
      <c r="K25" s="10"/>
      <c r="L25" s="14"/>
      <c r="M25" s="11"/>
      <c r="N25" s="10"/>
    </row>
    <row r="26" customFormat="false" ht="15" hidden="false" customHeight="true" outlineLevel="0" collapsed="false">
      <c r="A26" s="10"/>
      <c r="B26" s="11"/>
      <c r="C26" s="10"/>
      <c r="D26" s="10"/>
      <c r="E26" s="14"/>
      <c r="G26" s="31" t="s">
        <v>63</v>
      </c>
      <c r="H26" s="31"/>
      <c r="I26" s="14"/>
      <c r="K26" s="10"/>
      <c r="L26" s="14"/>
      <c r="M26" s="11"/>
      <c r="N26" s="10"/>
    </row>
    <row r="27" customFormat="false" ht="15" hidden="false" customHeight="true" outlineLevel="0" collapsed="false">
      <c r="A27" s="10"/>
      <c r="B27" s="11"/>
      <c r="C27" s="10"/>
      <c r="D27" s="10"/>
      <c r="E27" s="14"/>
      <c r="G27" s="31" t="s">
        <v>64</v>
      </c>
      <c r="H27" s="31"/>
      <c r="I27" s="14"/>
      <c r="K27" s="10"/>
      <c r="L27" s="14"/>
      <c r="M27" s="11"/>
      <c r="N27" s="10"/>
    </row>
    <row r="28" customFormat="false" ht="15" hidden="false" customHeight="true" outlineLevel="0" collapsed="false">
      <c r="A28" s="10"/>
      <c r="B28" s="11"/>
      <c r="C28" s="10"/>
      <c r="D28" s="10"/>
      <c r="E28" s="14"/>
      <c r="G28" s="32" t="s">
        <v>57</v>
      </c>
      <c r="H28" s="32"/>
      <c r="I28" s="9" t="n">
        <f aca="false">SUM(I26:I27)</f>
        <v>0</v>
      </c>
      <c r="K28" s="10"/>
      <c r="L28" s="14"/>
      <c r="M28" s="11"/>
      <c r="N28" s="10"/>
    </row>
    <row r="29" customFormat="false" ht="15" hidden="false" customHeight="false" outlineLevel="0" collapsed="false">
      <c r="A29" s="10"/>
      <c r="B29" s="11"/>
      <c r="C29" s="10"/>
      <c r="D29" s="10"/>
      <c r="E29" s="14"/>
      <c r="K29" s="10"/>
      <c r="L29" s="14"/>
      <c r="M29" s="11"/>
      <c r="N29" s="10"/>
    </row>
    <row r="30" customFormat="false" ht="15" hidden="false" customHeight="true" outlineLevel="0" collapsed="false">
      <c r="A30" s="10"/>
      <c r="B30" s="11"/>
      <c r="C30" s="10"/>
      <c r="D30" s="10"/>
      <c r="E30" s="14"/>
      <c r="G30" s="6" t="s">
        <v>65</v>
      </c>
      <c r="H30" s="6"/>
      <c r="I30" s="6"/>
      <c r="K30" s="10"/>
      <c r="L30" s="14"/>
      <c r="M30" s="11"/>
      <c r="N30" s="10"/>
    </row>
    <row r="31" customFormat="false" ht="15" hidden="false" customHeight="true" outlineLevel="0" collapsed="false">
      <c r="A31" s="10"/>
      <c r="B31" s="11"/>
      <c r="C31" s="10"/>
      <c r="D31" s="10"/>
      <c r="E31" s="14"/>
      <c r="G31" s="12" t="s">
        <v>36</v>
      </c>
      <c r="H31" s="12"/>
      <c r="I31" s="14" t="n">
        <f aca="false">SUMIF($C$5:$C$64,$G31,$E$5:$E$64)+SUMIF($G$5:$G$12,$G31,$I$5:$I$12)+SUMIF($G$16:$G$23,$G31,$I$16:$I$23)</f>
        <v>0</v>
      </c>
    </row>
    <row r="32" customFormat="false" ht="15" hidden="false" customHeight="true" outlineLevel="0" collapsed="false">
      <c r="A32" s="10"/>
      <c r="B32" s="11"/>
      <c r="C32" s="10"/>
      <c r="D32" s="10"/>
      <c r="E32" s="14"/>
      <c r="G32" s="17" t="s">
        <v>40</v>
      </c>
      <c r="H32" s="17"/>
      <c r="I32" s="14" t="n">
        <f aca="false">SUMIF($C$5:$C$64,$G32,$E$5:$E$64)+SUMIF($G$5:$G$12,$G32,$I$5:$I$12)+SUMIF($G$16:$G$23,$G32,$I$16:$I$23)</f>
        <v>0</v>
      </c>
      <c r="K32" s="6" t="s">
        <v>66</v>
      </c>
      <c r="L32" s="6"/>
      <c r="M32" s="6"/>
      <c r="N32" s="6"/>
    </row>
    <row r="33" customFormat="false" ht="15" hidden="false" customHeight="true" outlineLevel="0" collapsed="false">
      <c r="A33" s="10"/>
      <c r="B33" s="11"/>
      <c r="C33" s="10"/>
      <c r="D33" s="10"/>
      <c r="E33" s="14"/>
      <c r="G33" s="18" t="s">
        <v>42</v>
      </c>
      <c r="H33" s="18"/>
      <c r="I33" s="14" t="n">
        <f aca="false">SUMIF($C$5:$C$64,$G33,$E$5:$E$64)+SUMIF($G$5:$G$12,$G33,$I$5:$I$12)+SUMIF($G$16:$G$23,$G33,$I$16:$I$23)</f>
        <v>0</v>
      </c>
      <c r="K33" s="31" t="s">
        <v>67</v>
      </c>
      <c r="L33" s="31"/>
      <c r="M33" s="31"/>
      <c r="N33" s="33" t="n">
        <f aca="false">COUNT($E$5:$E$64)</f>
        <v>0</v>
      </c>
    </row>
    <row r="34" customFormat="false" ht="15" hidden="false" customHeight="true" outlineLevel="0" collapsed="false">
      <c r="A34" s="10"/>
      <c r="B34" s="11"/>
      <c r="C34" s="10"/>
      <c r="D34" s="10"/>
      <c r="E34" s="14"/>
      <c r="G34" s="23" t="s">
        <v>49</v>
      </c>
      <c r="H34" s="23"/>
      <c r="I34" s="14" t="n">
        <f aca="false">SUMIF($C$5:$C$64,$G34,$E$5:$E$64)+SUMIF($G$5:$G$12,$G34,$I$5:$I$12)+SUMIF($G$16:$G$23,$G34,$I$16:$I$23)</f>
        <v>0</v>
      </c>
      <c r="K34" s="31" t="s">
        <v>68</v>
      </c>
      <c r="L34" s="31"/>
      <c r="M34" s="31"/>
      <c r="N34" s="14" t="n">
        <f aca="false">IF(COUNT($E$5:$E$64)=0,0,MAX($E$5:$E$64))</f>
        <v>0</v>
      </c>
    </row>
    <row r="35" customFormat="false" ht="15" hidden="false" customHeight="true" outlineLevel="0" collapsed="false">
      <c r="A35" s="10"/>
      <c r="B35" s="11"/>
      <c r="C35" s="10"/>
      <c r="D35" s="10"/>
      <c r="E35" s="14"/>
      <c r="G35" s="34" t="s">
        <v>69</v>
      </c>
      <c r="H35" s="34"/>
      <c r="I35" s="14" t="n">
        <f aca="false">SUMIF($C$5:$C$64,$G35,$E$5:$E$64)+SUMIF($G$5:$G$12,$G35,$I$5:$I$12)+SUMIF($G$16:$G$23,$G35,$I$16:$I$23)</f>
        <v>0</v>
      </c>
      <c r="K35" s="31" t="s">
        <v>70</v>
      </c>
      <c r="L35" s="31"/>
      <c r="M35" s="31"/>
      <c r="N35" s="33" t="str">
        <f aca="false">IF($E$3=0,"—",INDEX($A$5:$A$64,MATCH(MAX($E$5:$E$64),$E$5:$E$64,0)))</f>
        <v>—</v>
      </c>
    </row>
    <row r="36" customFormat="false" ht="15" hidden="false" customHeight="true" outlineLevel="0" collapsed="false">
      <c r="A36" s="10"/>
      <c r="B36" s="11"/>
      <c r="C36" s="10"/>
      <c r="D36" s="10"/>
      <c r="E36" s="14"/>
      <c r="G36" s="28" t="s">
        <v>56</v>
      </c>
      <c r="H36" s="28"/>
      <c r="I36" s="14" t="n">
        <f aca="false">SUMIF($C$5:$C$64,$G36,$E$5:$E$64)+SUMIF($G$5:$G$12,$G36,$I$5:$I$12)+SUMIF($G$16:$G$23,$G36,$I$16:$I$23)</f>
        <v>0</v>
      </c>
      <c r="K36" s="31" t="s">
        <v>71</v>
      </c>
      <c r="L36" s="31"/>
      <c r="M36" s="31"/>
      <c r="N36" s="33" t="str">
        <f aca="false">IF($E$3=0,"—",INDEX($K$5:$K$16,MATCH(MAX($M$5:$M$16),$M$5:$M$16,0)))</f>
        <v>—</v>
      </c>
    </row>
    <row r="37" customFormat="false" ht="15" hidden="false" customHeight="true" outlineLevel="0" collapsed="false">
      <c r="A37" s="10"/>
      <c r="B37" s="11"/>
      <c r="C37" s="10"/>
      <c r="D37" s="10"/>
      <c r="E37" s="14"/>
      <c r="G37" s="10" t="s">
        <v>72</v>
      </c>
      <c r="H37" s="10"/>
      <c r="I37" s="14"/>
      <c r="K37" s="31" t="s">
        <v>73</v>
      </c>
      <c r="L37" s="31"/>
      <c r="M37" s="31"/>
      <c r="N37" s="14" t="n">
        <f aca="false">IFERROR(AVERAGE($E$5:$E$64),0)</f>
        <v>0</v>
      </c>
    </row>
    <row r="38" customFormat="false" ht="15" hidden="false" customHeight="true" outlineLevel="0" collapsed="false">
      <c r="A38" s="10"/>
      <c r="B38" s="11"/>
      <c r="C38" s="10"/>
      <c r="D38" s="10"/>
      <c r="E38" s="14"/>
      <c r="G38" s="10" t="s">
        <v>74</v>
      </c>
      <c r="H38" s="10"/>
      <c r="I38" s="14"/>
      <c r="K38" s="31" t="s">
        <v>75</v>
      </c>
      <c r="L38" s="31"/>
      <c r="M38" s="31"/>
      <c r="N38" s="14" t="n">
        <f aca="false">IFERROR($E$3/DAY(EOMONTH(DATE(2026,10,1),0)),0)</f>
        <v>0</v>
      </c>
    </row>
    <row r="39" customFormat="false" ht="15" hidden="false" customHeight="true" outlineLevel="0" collapsed="false">
      <c r="A39" s="10"/>
      <c r="B39" s="11"/>
      <c r="C39" s="10"/>
      <c r="D39" s="10"/>
      <c r="E39" s="14"/>
      <c r="G39" s="29" t="s">
        <v>76</v>
      </c>
      <c r="H39" s="29"/>
      <c r="I39" s="9" t="n">
        <f aca="false">SUM(I31:I38)</f>
        <v>0</v>
      </c>
      <c r="K39" s="31" t="s">
        <v>77</v>
      </c>
      <c r="L39" s="31"/>
      <c r="M39" s="31"/>
      <c r="N39" s="16" t="n">
        <f aca="false">IFERROR($I$39/$I$28,0)</f>
        <v>0</v>
      </c>
    </row>
    <row r="40" customFormat="false" ht="15" hidden="false" customHeight="false" outlineLevel="0" collapsed="false">
      <c r="A40" s="10"/>
      <c r="B40" s="11"/>
      <c r="C40" s="10"/>
      <c r="D40" s="10"/>
      <c r="E40" s="14"/>
    </row>
    <row r="41" customFormat="false" ht="15" hidden="false" customHeight="true" outlineLevel="0" collapsed="false">
      <c r="A41" s="10"/>
      <c r="B41" s="11"/>
      <c r="C41" s="10"/>
      <c r="D41" s="10"/>
      <c r="E41" s="14"/>
      <c r="G41" s="6" t="s">
        <v>78</v>
      </c>
      <c r="H41" s="6"/>
      <c r="I41" s="6"/>
    </row>
    <row r="42" customFormat="false" ht="15" hidden="false" customHeight="true" outlineLevel="0" collapsed="false">
      <c r="A42" s="10"/>
      <c r="B42" s="11"/>
      <c r="C42" s="10"/>
      <c r="D42" s="10"/>
      <c r="E42" s="14"/>
      <c r="G42" s="10" t="s">
        <v>72</v>
      </c>
      <c r="H42" s="10"/>
      <c r="I42" s="14"/>
    </row>
    <row r="43" customFormat="false" ht="15" hidden="false" customHeight="true" outlineLevel="0" collapsed="false">
      <c r="A43" s="10"/>
      <c r="B43" s="11"/>
      <c r="C43" s="10"/>
      <c r="D43" s="10"/>
      <c r="E43" s="14"/>
      <c r="G43" s="10" t="s">
        <v>79</v>
      </c>
      <c r="H43" s="10"/>
      <c r="I43" s="14"/>
    </row>
    <row r="44" customFormat="false" ht="15" hidden="false" customHeight="true" outlineLevel="0" collapsed="false">
      <c r="A44" s="10"/>
      <c r="B44" s="11"/>
      <c r="C44" s="10"/>
      <c r="D44" s="10"/>
      <c r="E44" s="14"/>
      <c r="G44" s="29" t="s">
        <v>57</v>
      </c>
      <c r="H44" s="29"/>
      <c r="I44" s="9" t="n">
        <f aca="false">SUM(I42:I43)</f>
        <v>0</v>
      </c>
    </row>
    <row r="45" customFormat="false" ht="15" hidden="false" customHeight="false" outlineLevel="0" collapsed="false">
      <c r="A45" s="10"/>
      <c r="B45" s="11"/>
      <c r="C45" s="10"/>
      <c r="D45" s="10"/>
      <c r="E45" s="14"/>
    </row>
    <row r="46" customFormat="false" ht="15" hidden="false" customHeight="true" outlineLevel="0" collapsed="false">
      <c r="A46" s="10"/>
      <c r="B46" s="11"/>
      <c r="C46" s="10"/>
      <c r="D46" s="10"/>
      <c r="E46" s="14"/>
      <c r="G46" s="6" t="s">
        <v>80</v>
      </c>
      <c r="H46" s="6"/>
      <c r="I46" s="6"/>
    </row>
    <row r="47" customFormat="false" ht="31.5" hidden="false" customHeight="true" outlineLevel="0" collapsed="false">
      <c r="A47" s="10"/>
      <c r="B47" s="11"/>
      <c r="C47" s="10"/>
      <c r="D47" s="10"/>
      <c r="E47" s="14"/>
      <c r="G47" s="35" t="n">
        <f aca="false">I28-I39</f>
        <v>0</v>
      </c>
      <c r="H47" s="35"/>
      <c r="I47" s="35"/>
    </row>
    <row r="48" customFormat="false" ht="15" hidden="false" customHeight="false" outlineLevel="0" collapsed="false">
      <c r="A48" s="10"/>
      <c r="B48" s="11"/>
      <c r="C48" s="10"/>
      <c r="D48" s="10"/>
      <c r="E48" s="14"/>
    </row>
    <row r="49" customFormat="false" ht="15" hidden="false" customHeight="false" outlineLevel="0" collapsed="false">
      <c r="A49" s="10"/>
      <c r="B49" s="11"/>
      <c r="C49" s="10"/>
      <c r="D49" s="10"/>
      <c r="E49" s="14"/>
    </row>
    <row r="50" customFormat="false" ht="15" hidden="false" customHeight="false" outlineLevel="0" collapsed="false">
      <c r="A50" s="10"/>
      <c r="B50" s="11"/>
      <c r="C50" s="10"/>
      <c r="D50" s="10"/>
      <c r="E50" s="14"/>
    </row>
    <row r="51" customFormat="false" ht="15" hidden="false" customHeight="false" outlineLevel="0" collapsed="false">
      <c r="A51" s="10"/>
      <c r="B51" s="11"/>
      <c r="C51" s="10"/>
      <c r="D51" s="10"/>
      <c r="E51" s="14"/>
    </row>
    <row r="52" customFormat="false" ht="15" hidden="false" customHeight="false" outlineLevel="0" collapsed="false">
      <c r="A52" s="10"/>
      <c r="B52" s="11"/>
      <c r="C52" s="10"/>
      <c r="D52" s="10"/>
      <c r="E52" s="14"/>
    </row>
    <row r="53" customFormat="false" ht="15" hidden="false" customHeight="false" outlineLevel="0" collapsed="false">
      <c r="A53" s="10"/>
      <c r="B53" s="11"/>
      <c r="C53" s="10"/>
      <c r="D53" s="10"/>
      <c r="E53" s="14"/>
    </row>
    <row r="54" customFormat="false" ht="15" hidden="false" customHeight="false" outlineLevel="0" collapsed="false">
      <c r="A54" s="10"/>
      <c r="B54" s="11"/>
      <c r="C54" s="10"/>
      <c r="D54" s="10"/>
      <c r="E54" s="14"/>
    </row>
    <row r="55" customFormat="false" ht="15" hidden="false" customHeight="false" outlineLevel="0" collapsed="false">
      <c r="A55" s="10"/>
      <c r="B55" s="11"/>
      <c r="C55" s="10"/>
      <c r="D55" s="10"/>
      <c r="E55" s="14"/>
    </row>
    <row r="56" customFormat="false" ht="15" hidden="false" customHeight="false" outlineLevel="0" collapsed="false">
      <c r="A56" s="10"/>
      <c r="B56" s="11"/>
      <c r="C56" s="10"/>
      <c r="D56" s="10"/>
      <c r="E56" s="14"/>
    </row>
    <row r="57" customFormat="false" ht="15" hidden="false" customHeight="false" outlineLevel="0" collapsed="false">
      <c r="A57" s="10"/>
      <c r="B57" s="11"/>
      <c r="C57" s="10"/>
      <c r="D57" s="10"/>
      <c r="E57" s="14"/>
    </row>
    <row r="58" customFormat="false" ht="15" hidden="false" customHeight="false" outlineLevel="0" collapsed="false">
      <c r="A58" s="10"/>
      <c r="B58" s="11"/>
      <c r="C58" s="10"/>
      <c r="D58" s="10"/>
      <c r="E58" s="14"/>
    </row>
    <row r="59" customFormat="false" ht="15" hidden="false" customHeight="false" outlineLevel="0" collapsed="false">
      <c r="A59" s="10"/>
      <c r="B59" s="11"/>
      <c r="C59" s="10"/>
      <c r="D59" s="10"/>
      <c r="E59" s="14"/>
    </row>
    <row r="60" customFormat="false" ht="15" hidden="false" customHeight="false" outlineLevel="0" collapsed="false">
      <c r="A60" s="10"/>
      <c r="B60" s="11"/>
      <c r="C60" s="10"/>
      <c r="D60" s="10"/>
      <c r="E60" s="14"/>
    </row>
    <row r="61" customFormat="false" ht="15" hidden="false" customHeight="false" outlineLevel="0" collapsed="false">
      <c r="A61" s="10"/>
      <c r="B61" s="11"/>
      <c r="C61" s="10"/>
      <c r="D61" s="10"/>
      <c r="E61" s="14"/>
    </row>
    <row r="62" customFormat="false" ht="15" hidden="false" customHeight="false" outlineLevel="0" collapsed="false">
      <c r="A62" s="10"/>
      <c r="B62" s="11"/>
      <c r="C62" s="10"/>
      <c r="D62" s="10"/>
      <c r="E62" s="14"/>
    </row>
    <row r="63" customFormat="false" ht="15" hidden="false" customHeight="false" outlineLevel="0" collapsed="false">
      <c r="A63" s="10"/>
      <c r="B63" s="11"/>
      <c r="C63" s="10"/>
      <c r="D63" s="10"/>
      <c r="E63" s="14"/>
    </row>
    <row r="64" customFormat="false" ht="15" hidden="false" customHeight="false" outlineLevel="0" collapsed="false">
      <c r="A64" s="10"/>
      <c r="B64" s="11"/>
      <c r="C64" s="10"/>
      <c r="D64" s="10"/>
      <c r="E64" s="14"/>
    </row>
  </sheetData>
  <mergeCells count="34">
    <mergeCell ref="A1:N1"/>
    <mergeCell ref="A3:C3"/>
    <mergeCell ref="G3:H3"/>
    <mergeCell ref="K3:N3"/>
    <mergeCell ref="G14:H14"/>
    <mergeCell ref="K19:N19"/>
    <mergeCell ref="G25:I25"/>
    <mergeCell ref="G26:H26"/>
    <mergeCell ref="G27:H27"/>
    <mergeCell ref="G28:H28"/>
    <mergeCell ref="G30:I30"/>
    <mergeCell ref="G31:H31"/>
    <mergeCell ref="G32:H32"/>
    <mergeCell ref="K32:N32"/>
    <mergeCell ref="G33:H33"/>
    <mergeCell ref="K33:M33"/>
    <mergeCell ref="G34:H34"/>
    <mergeCell ref="K34:M34"/>
    <mergeCell ref="G35:H35"/>
    <mergeCell ref="K35:M35"/>
    <mergeCell ref="G36:H36"/>
    <mergeCell ref="K36:M36"/>
    <mergeCell ref="G37:H37"/>
    <mergeCell ref="K37:M37"/>
    <mergeCell ref="G38:H38"/>
    <mergeCell ref="K38:M38"/>
    <mergeCell ref="G39:H39"/>
    <mergeCell ref="K39:M39"/>
    <mergeCell ref="G41:I41"/>
    <mergeCell ref="G42:H42"/>
    <mergeCell ref="G43:H43"/>
    <mergeCell ref="G44:H44"/>
    <mergeCell ref="G46:I46"/>
    <mergeCell ref="G47:I47"/>
  </mergeCells>
  <conditionalFormatting sqref="C5:C64">
    <cfRule type="containsText" priority="2" operator="containsText" aboveAverage="0" equalAverage="0" bottom="0" percent="0" rank="0" text="Débito" dxfId="0">
      <formula>NOT(ISERROR(SEARCH("Débito",C5)))</formula>
    </cfRule>
    <cfRule type="containsText" priority="3" operator="containsText" aboveAverage="0" equalAverage="0" bottom="0" percent="0" rank="0" text="Crédito" dxfId="1">
      <formula>NOT(ISERROR(SEARCH("Crédito",C5)))</formula>
    </cfRule>
    <cfRule type="containsText" priority="4" operator="containsText" aboveAverage="0" equalAverage="0" bottom="0" percent="0" rank="0" text="Pix" dxfId="2">
      <formula>NOT(ISERROR(SEARCH("Pix",C5)))</formula>
    </cfRule>
    <cfRule type="containsText" priority="5" operator="containsText" aboveAverage="0" equalAverage="0" bottom="0" percent="0" rank="0" text="Dinheiro" dxfId="3">
      <formula>NOT(ISERROR(SEARCH("Dinheiro",C5)))</formula>
    </cfRule>
    <cfRule type="containsText" priority="6" operator="containsText" aboveAverage="0" equalAverage="0" bottom="0" percent="0" rank="0" text="Voucher" dxfId="4">
      <formula>NOT(ISERROR(SEARCH("Voucher",C5)))</formula>
    </cfRule>
    <cfRule type="containsText" priority="7" operator="containsText" aboveAverage="0" equalAverage="0" bottom="0" percent="0" rank="0" text="Outros" dxfId="5">
      <formula>NOT(ISERROR(SEARCH("Outros",C5)))</formula>
    </cfRule>
  </conditionalFormatting>
  <conditionalFormatting sqref="D5:D64">
    <cfRule type="containsText" priority="8" operator="containsText" aboveAverage="0" equalAverage="0" bottom="0" percent="0" rank="0" text="Mercado" dxfId="6">
      <formula>NOT(ISERROR(SEARCH("Mercado",D5)))</formula>
    </cfRule>
    <cfRule type="containsText" priority="9" operator="containsText" aboveAverage="0" equalAverage="0" bottom="0" percent="0" rank="0" text="Alimentação" dxfId="7">
      <formula>NOT(ISERROR(SEARCH("Alimentação",D5)))</formula>
    </cfRule>
    <cfRule type="containsText" priority="10" operator="containsText" aboveAverage="0" equalAverage="0" bottom="0" percent="0" rank="0" text="Farmácia" dxfId="8">
      <formula>NOT(ISERROR(SEARCH("Farmácia",D5)))</formula>
    </cfRule>
    <cfRule type="containsText" priority="11" operator="containsText" aboveAverage="0" equalAverage="0" bottom="0" percent="0" rank="0" text="Combustível" dxfId="9">
      <formula>NOT(ISERROR(SEARCH("Combustível",D5)))</formula>
    </cfRule>
    <cfRule type="containsText" priority="12" operator="containsText" aboveAverage="0" equalAverage="0" bottom="0" percent="0" rank="0" text="Transporte" dxfId="10">
      <formula>NOT(ISERROR(SEARCH("Transporte",D5)))</formula>
    </cfRule>
    <cfRule type="containsText" priority="13" operator="containsText" aboveAverage="0" equalAverage="0" bottom="0" percent="0" rank="0" text="Vestuário" dxfId="1">
      <formula>NOT(ISERROR(SEARCH("Vestuário",D5)))</formula>
    </cfRule>
    <cfRule type="containsText" priority="14" operator="containsText" aboveAverage="0" equalAverage="0" bottom="0" percent="0" rank="0" text="Eletrônicos" dxfId="11">
      <formula>NOT(ISERROR(SEARCH("Eletrônicos",D5)))</formula>
    </cfRule>
    <cfRule type="containsText" priority="15" operator="containsText" aboveAverage="0" equalAverage="0" bottom="0" percent="0" rank="0" text="Casa" dxfId="12">
      <formula>NOT(ISERROR(SEARCH("Casa",D5)))</formula>
    </cfRule>
    <cfRule type="containsText" priority="16" operator="containsText" aboveAverage="0" equalAverage="0" bottom="0" percent="0" rank="0" text="Saúde" dxfId="13">
      <formula>NOT(ISERROR(SEARCH("Saúde",D5)))</formula>
    </cfRule>
    <cfRule type="containsText" priority="17" operator="containsText" aboveAverage="0" equalAverage="0" bottom="0" percent="0" rank="0" text="Lazer" dxfId="14">
      <formula>NOT(ISERROR(SEARCH("Lazer",D5)))</formula>
    </cfRule>
    <cfRule type="containsText" priority="18" operator="containsText" aboveAverage="0" equalAverage="0" bottom="0" percent="0" rank="0" text="Serviços" dxfId="15">
      <formula>NOT(ISERROR(SEARCH("Serviços",D5)))</formula>
    </cfRule>
    <cfRule type="containsText" priority="19" operator="containsText" aboveAverage="0" equalAverage="0" bottom="0" percent="0" rank="0" text="Outros" dxfId="5">
      <formula>NOT(ISERROR(SEARCH("Outros",D5)))</formula>
    </cfRule>
  </conditionalFormatting>
  <dataValidations count="3">
    <dataValidation allowBlank="true" errorStyle="stop" operator="between" showDropDown="false" showErrorMessage="false" showInputMessage="false" sqref="D5:D24 H5:H12 H16:H23 D25:D64" type="list">
      <formula1>"Alimentação,Mercado,Farmácia,Combustível,Transporte,Vestuário,Eletrônicos,Casa,Saúde,Lazer,Serviços,Outros"</formula1>
      <formula2>0</formula2>
    </dataValidation>
    <dataValidation allowBlank="true" errorStyle="stop" operator="between" showDropDown="false" showErrorMessage="false" showInputMessage="false" sqref="C5:C24 G5:G12 G16:G23 C25:C64" type="list">
      <formula1>"Débito,Crédito,Pix,Dinheiro,Voucher,Outros"</formula1>
      <formula2>0</formula2>
    </dataValidation>
    <dataValidation allowBlank="true" errorStyle="stop" operator="between" showDropDown="false" showErrorMessage="false" showInputMessage="false" sqref="N21:N3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88A89"/>
    <pageSetUpPr fitToPage="false"/>
  </sheetPr>
  <dimension ref="A1:N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2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2"/>
    <col collapsed="false" customWidth="true" hidden="false" outlineLevel="0" max="11" min="11" style="0" width="17"/>
    <col collapsed="false" customWidth="true" hidden="false" outlineLevel="0" max="12" min="12" style="0" width="13"/>
    <col collapsed="false" customWidth="true" hidden="false" outlineLevel="0" max="14" min="13" style="0" width="12"/>
    <col collapsed="false" customWidth="true" hidden="false" outlineLevel="0" max="15" min="15" style="0" width="2"/>
  </cols>
  <sheetData>
    <row r="1" customFormat="false" ht="33.75" hidden="false" customHeight="true" outlineLevel="0" collapsed="false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9.7" hidden="false" customHeight="true" outlineLevel="0" collapsed="false">
      <c r="A3" s="6" t="s">
        <v>23</v>
      </c>
      <c r="B3" s="6"/>
      <c r="C3" s="6"/>
      <c r="D3" s="7" t="s">
        <v>24</v>
      </c>
      <c r="E3" s="8" t="n">
        <f aca="false">SUM(E5:E64)</f>
        <v>0</v>
      </c>
      <c r="G3" s="6" t="s">
        <v>25</v>
      </c>
      <c r="H3" s="6"/>
      <c r="I3" s="9" t="n">
        <f aca="false">SUM(I5:I12)</f>
        <v>0</v>
      </c>
      <c r="K3" s="6" t="s">
        <v>26</v>
      </c>
      <c r="L3" s="6"/>
      <c r="M3" s="6"/>
      <c r="N3" s="6"/>
    </row>
    <row r="4" customFormat="false" ht="15" hidden="false" customHeight="false" outlineLevel="0" collapsed="false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G4" s="6" t="s">
        <v>29</v>
      </c>
      <c r="H4" s="6" t="s">
        <v>30</v>
      </c>
      <c r="I4" s="6" t="s">
        <v>31</v>
      </c>
      <c r="K4" s="6" t="s">
        <v>30</v>
      </c>
      <c r="L4" s="6" t="s">
        <v>32</v>
      </c>
      <c r="M4" s="6" t="s">
        <v>33</v>
      </c>
      <c r="N4" s="6" t="s">
        <v>34</v>
      </c>
    </row>
    <row r="5" customFormat="false" ht="15" hidden="false" customHeight="false" outlineLevel="0" collapsed="false">
      <c r="A5" s="10"/>
      <c r="B5" s="11"/>
      <c r="C5" s="10"/>
      <c r="D5" s="10"/>
      <c r="E5" s="14"/>
      <c r="G5" s="10"/>
      <c r="H5" s="10"/>
      <c r="I5" s="14"/>
      <c r="K5" s="15" t="s">
        <v>38</v>
      </c>
      <c r="L5" s="14"/>
      <c r="M5" s="14" t="n">
        <f aca="false">SUMIF($D$5:$D$64,$K5,$E$5:$E$64)</f>
        <v>0</v>
      </c>
      <c r="N5" s="16" t="n">
        <f aca="false">IFERROR(M5/$E$3,0)</f>
        <v>0</v>
      </c>
    </row>
    <row r="6" customFormat="false" ht="15" hidden="false" customHeight="false" outlineLevel="0" collapsed="false">
      <c r="A6" s="10"/>
      <c r="B6" s="11"/>
      <c r="C6" s="10"/>
      <c r="D6" s="10"/>
      <c r="E6" s="14"/>
      <c r="G6" s="10"/>
      <c r="H6" s="10"/>
      <c r="I6" s="14"/>
      <c r="K6" s="13" t="s">
        <v>37</v>
      </c>
      <c r="L6" s="14"/>
      <c r="M6" s="14" t="n">
        <f aca="false">SUMIF($D$5:$D$64,$K6,$E$5:$E$64)</f>
        <v>0</v>
      </c>
      <c r="N6" s="16" t="n">
        <f aca="false">IFERROR(M6/$E$3,0)</f>
        <v>0</v>
      </c>
    </row>
    <row r="7" customFormat="false" ht="15" hidden="false" customHeight="false" outlineLevel="0" collapsed="false">
      <c r="A7" s="10"/>
      <c r="B7" s="11"/>
      <c r="C7" s="10"/>
      <c r="D7" s="10"/>
      <c r="E7" s="14"/>
      <c r="G7" s="10"/>
      <c r="H7" s="10"/>
      <c r="I7" s="14"/>
      <c r="K7" s="20" t="s">
        <v>44</v>
      </c>
      <c r="L7" s="14"/>
      <c r="M7" s="14" t="n">
        <f aca="false">SUMIF($D$5:$D$64,$K7,$E$5:$E$64)</f>
        <v>0</v>
      </c>
      <c r="N7" s="16" t="n">
        <f aca="false">IFERROR(M7/$E$3,0)</f>
        <v>0</v>
      </c>
    </row>
    <row r="8" customFormat="false" ht="15" hidden="false" customHeight="false" outlineLevel="0" collapsed="false">
      <c r="A8" s="10"/>
      <c r="B8" s="11"/>
      <c r="C8" s="10"/>
      <c r="D8" s="10"/>
      <c r="E8" s="14"/>
      <c r="G8" s="10"/>
      <c r="H8" s="10"/>
      <c r="I8" s="14"/>
      <c r="K8" s="22" t="s">
        <v>47</v>
      </c>
      <c r="L8" s="14"/>
      <c r="M8" s="14" t="n">
        <f aca="false">SUMIF($D$5:$D$64,$K8,$E$5:$E$64)</f>
        <v>0</v>
      </c>
      <c r="N8" s="16" t="n">
        <f aca="false">IFERROR(M8/$E$3,0)</f>
        <v>0</v>
      </c>
    </row>
    <row r="9" customFormat="false" ht="15" hidden="false" customHeight="false" outlineLevel="0" collapsed="false">
      <c r="A9" s="10"/>
      <c r="B9" s="11"/>
      <c r="C9" s="10"/>
      <c r="D9" s="10"/>
      <c r="E9" s="14"/>
      <c r="G9" s="10"/>
      <c r="H9" s="10"/>
      <c r="I9" s="14"/>
      <c r="K9" s="19" t="s">
        <v>43</v>
      </c>
      <c r="L9" s="14"/>
      <c r="M9" s="14" t="n">
        <f aca="false">SUMIF($D$5:$D$64,$K9,$E$5:$E$64)</f>
        <v>0</v>
      </c>
      <c r="N9" s="16" t="n">
        <f aca="false">IFERROR(M9/$E$3,0)</f>
        <v>0</v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G10" s="10"/>
      <c r="H10" s="10"/>
      <c r="I10" s="14"/>
      <c r="K10" s="17" t="s">
        <v>50</v>
      </c>
      <c r="L10" s="14"/>
      <c r="M10" s="14" t="n">
        <f aca="false">SUMIF($D$5:$D$64,$K10,$E$5:$E$64)</f>
        <v>0</v>
      </c>
      <c r="N10" s="16" t="n">
        <f aca="false">IFERROR(M10/$E$3,0)</f>
        <v>0</v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G11" s="10"/>
      <c r="H11" s="10"/>
      <c r="I11" s="14"/>
      <c r="K11" s="24" t="s">
        <v>51</v>
      </c>
      <c r="L11" s="14"/>
      <c r="M11" s="14" t="n">
        <f aca="false">SUMIF($D$5:$D$64,$K11,$E$5:$E$64)</f>
        <v>0</v>
      </c>
      <c r="N11" s="16" t="n">
        <f aca="false">IFERROR(M11/$E$3,0)</f>
        <v>0</v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G12" s="10"/>
      <c r="H12" s="10"/>
      <c r="I12" s="14"/>
      <c r="K12" s="21" t="s">
        <v>46</v>
      </c>
      <c r="L12" s="14"/>
      <c r="M12" s="14" t="n">
        <f aca="false">SUMIF($D$5:$D$64,$K12,$E$5:$E$64)</f>
        <v>0</v>
      </c>
      <c r="N12" s="16" t="n">
        <f aca="false">IFERROR(M12/$E$3,0)</f>
        <v>0</v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K13" s="25" t="s">
        <v>52</v>
      </c>
      <c r="L13" s="14"/>
      <c r="M13" s="14" t="n">
        <f aca="false">SUMIF($D$5:$D$64,$K13,$E$5:$E$64)</f>
        <v>0</v>
      </c>
      <c r="N13" s="16" t="n">
        <f aca="false">IFERROR(M13/$E$3,0)</f>
        <v>0</v>
      </c>
    </row>
    <row r="14" customFormat="false" ht="26.85" hidden="false" customHeight="true" outlineLevel="0" collapsed="false">
      <c r="A14" s="10"/>
      <c r="B14" s="11"/>
      <c r="C14" s="10"/>
      <c r="D14" s="10"/>
      <c r="E14" s="14"/>
      <c r="G14" s="6" t="s">
        <v>53</v>
      </c>
      <c r="H14" s="6"/>
      <c r="I14" s="9" t="n">
        <f aca="false">SUM(I16:I23)</f>
        <v>0</v>
      </c>
      <c r="K14" s="26" t="s">
        <v>54</v>
      </c>
      <c r="L14" s="14"/>
      <c r="M14" s="14" t="n">
        <f aca="false">SUMIF($D$5:$D$64,$K14,$E$5:$E$64)</f>
        <v>0</v>
      </c>
      <c r="N14" s="16" t="n">
        <f aca="false">IFERROR(M14/$E$3,0)</f>
        <v>0</v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G15" s="6" t="s">
        <v>29</v>
      </c>
      <c r="H15" s="6" t="s">
        <v>30</v>
      </c>
      <c r="I15" s="6" t="s">
        <v>31</v>
      </c>
      <c r="K15" s="27" t="s">
        <v>55</v>
      </c>
      <c r="L15" s="14"/>
      <c r="M15" s="14" t="n">
        <f aca="false">SUMIF($D$5:$D$64,$K15,$E$5:$E$64)</f>
        <v>0</v>
      </c>
      <c r="N15" s="16" t="n">
        <f aca="false">IFERROR(M15/$E$3,0)</f>
        <v>0</v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G16" s="10"/>
      <c r="H16" s="10"/>
      <c r="I16" s="14"/>
      <c r="K16" s="28" t="s">
        <v>56</v>
      </c>
      <c r="L16" s="14"/>
      <c r="M16" s="14" t="n">
        <f aca="false">SUMIF($D$5:$D$64,$K16,$E$5:$E$64)</f>
        <v>0</v>
      </c>
      <c r="N16" s="16" t="n">
        <f aca="false">IFERROR(M16/$E$3,0)</f>
        <v>0</v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G17" s="10"/>
      <c r="H17" s="10"/>
      <c r="I17" s="14"/>
      <c r="K17" s="29" t="s">
        <v>57</v>
      </c>
      <c r="L17" s="9" t="n">
        <f aca="false">SUM(L5:L16)</f>
        <v>0</v>
      </c>
      <c r="M17" s="9" t="n">
        <f aca="false">SUM(M5:M16)</f>
        <v>0</v>
      </c>
      <c r="N17" s="30" t="n">
        <f aca="false">IFERROR(M17/$E$3,0)</f>
        <v>0</v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G18" s="10"/>
      <c r="H18" s="10"/>
      <c r="I18" s="14"/>
    </row>
    <row r="19" customFormat="false" ht="15" hidden="false" customHeight="true" outlineLevel="0" collapsed="false">
      <c r="A19" s="10"/>
      <c r="B19" s="11"/>
      <c r="C19" s="10"/>
      <c r="D19" s="10"/>
      <c r="E19" s="14"/>
      <c r="G19" s="10"/>
      <c r="H19" s="10"/>
      <c r="I19" s="14"/>
      <c r="K19" s="6" t="s">
        <v>58</v>
      </c>
      <c r="L19" s="6"/>
      <c r="M19" s="6"/>
      <c r="N19" s="6"/>
    </row>
    <row r="20" customFormat="false" ht="15" hidden="false" customHeight="false" outlineLevel="0" collapsed="false">
      <c r="A20" s="10"/>
      <c r="B20" s="11"/>
      <c r="C20" s="10"/>
      <c r="D20" s="10"/>
      <c r="E20" s="14"/>
      <c r="G20" s="10"/>
      <c r="H20" s="10"/>
      <c r="I20" s="14"/>
      <c r="K20" s="6" t="s">
        <v>59</v>
      </c>
      <c r="L20" s="6" t="s">
        <v>31</v>
      </c>
      <c r="M20" s="6" t="s">
        <v>60</v>
      </c>
      <c r="N20" s="6" t="s">
        <v>61</v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G21" s="10"/>
      <c r="H21" s="10"/>
      <c r="I21" s="14"/>
      <c r="K21" s="10"/>
      <c r="L21" s="14"/>
      <c r="M21" s="11"/>
      <c r="N21" s="10"/>
    </row>
    <row r="22" customFormat="false" ht="15" hidden="false" customHeight="false" outlineLevel="0" collapsed="false">
      <c r="A22" s="10"/>
      <c r="B22" s="11"/>
      <c r="C22" s="10"/>
      <c r="D22" s="10"/>
      <c r="E22" s="14"/>
      <c r="G22" s="10"/>
      <c r="H22" s="10"/>
      <c r="I22" s="14"/>
      <c r="K22" s="10"/>
      <c r="L22" s="14"/>
      <c r="M22" s="11"/>
      <c r="N22" s="10"/>
    </row>
    <row r="23" customFormat="false" ht="15" hidden="false" customHeight="false" outlineLevel="0" collapsed="false">
      <c r="A23" s="10"/>
      <c r="B23" s="11"/>
      <c r="C23" s="10"/>
      <c r="D23" s="10"/>
      <c r="E23" s="14"/>
      <c r="G23" s="10"/>
      <c r="H23" s="10"/>
      <c r="I23" s="14"/>
      <c r="K23" s="10"/>
      <c r="L23" s="14"/>
      <c r="M23" s="11"/>
      <c r="N23" s="10"/>
    </row>
    <row r="24" customFormat="false" ht="15" hidden="false" customHeight="false" outlineLevel="0" collapsed="false">
      <c r="A24" s="10"/>
      <c r="B24" s="11"/>
      <c r="C24" s="10"/>
      <c r="D24" s="10"/>
      <c r="E24" s="14"/>
      <c r="K24" s="10"/>
      <c r="L24" s="14"/>
      <c r="M24" s="11"/>
      <c r="N24" s="10"/>
    </row>
    <row r="25" customFormat="false" ht="15" hidden="false" customHeight="true" outlineLevel="0" collapsed="false">
      <c r="A25" s="10"/>
      <c r="B25" s="11"/>
      <c r="C25" s="10"/>
      <c r="D25" s="10"/>
      <c r="E25" s="14"/>
      <c r="G25" s="6" t="s">
        <v>62</v>
      </c>
      <c r="H25" s="6"/>
      <c r="I25" s="6"/>
      <c r="K25" s="10"/>
      <c r="L25" s="14"/>
      <c r="M25" s="11"/>
      <c r="N25" s="10"/>
    </row>
    <row r="26" customFormat="false" ht="15" hidden="false" customHeight="true" outlineLevel="0" collapsed="false">
      <c r="A26" s="10"/>
      <c r="B26" s="11"/>
      <c r="C26" s="10"/>
      <c r="D26" s="10"/>
      <c r="E26" s="14"/>
      <c r="G26" s="31" t="s">
        <v>63</v>
      </c>
      <c r="H26" s="31"/>
      <c r="I26" s="14"/>
      <c r="K26" s="10"/>
      <c r="L26" s="14"/>
      <c r="M26" s="11"/>
      <c r="N26" s="10"/>
    </row>
    <row r="27" customFormat="false" ht="15" hidden="false" customHeight="true" outlineLevel="0" collapsed="false">
      <c r="A27" s="10"/>
      <c r="B27" s="11"/>
      <c r="C27" s="10"/>
      <c r="D27" s="10"/>
      <c r="E27" s="14"/>
      <c r="G27" s="31" t="s">
        <v>64</v>
      </c>
      <c r="H27" s="31"/>
      <c r="I27" s="14"/>
      <c r="K27" s="10"/>
      <c r="L27" s="14"/>
      <c r="M27" s="11"/>
      <c r="N27" s="10"/>
    </row>
    <row r="28" customFormat="false" ht="15" hidden="false" customHeight="true" outlineLevel="0" collapsed="false">
      <c r="A28" s="10"/>
      <c r="B28" s="11"/>
      <c r="C28" s="10"/>
      <c r="D28" s="10"/>
      <c r="E28" s="14"/>
      <c r="G28" s="32" t="s">
        <v>57</v>
      </c>
      <c r="H28" s="32"/>
      <c r="I28" s="9" t="n">
        <f aca="false">SUM(I26:I27)</f>
        <v>0</v>
      </c>
      <c r="K28" s="10"/>
      <c r="L28" s="14"/>
      <c r="M28" s="11"/>
      <c r="N28" s="10"/>
    </row>
    <row r="29" customFormat="false" ht="15" hidden="false" customHeight="false" outlineLevel="0" collapsed="false">
      <c r="A29" s="10"/>
      <c r="B29" s="11"/>
      <c r="C29" s="10"/>
      <c r="D29" s="10"/>
      <c r="E29" s="14"/>
      <c r="K29" s="10"/>
      <c r="L29" s="14"/>
      <c r="M29" s="11"/>
      <c r="N29" s="10"/>
    </row>
    <row r="30" customFormat="false" ht="15" hidden="false" customHeight="true" outlineLevel="0" collapsed="false">
      <c r="A30" s="10"/>
      <c r="B30" s="11"/>
      <c r="C30" s="10"/>
      <c r="D30" s="10"/>
      <c r="E30" s="14"/>
      <c r="G30" s="6" t="s">
        <v>65</v>
      </c>
      <c r="H30" s="6"/>
      <c r="I30" s="6"/>
      <c r="K30" s="10"/>
      <c r="L30" s="14"/>
      <c r="M30" s="11"/>
      <c r="N30" s="10"/>
    </row>
    <row r="31" customFormat="false" ht="15" hidden="false" customHeight="true" outlineLevel="0" collapsed="false">
      <c r="A31" s="10"/>
      <c r="B31" s="11"/>
      <c r="C31" s="10"/>
      <c r="D31" s="10"/>
      <c r="E31" s="14"/>
      <c r="G31" s="12" t="s">
        <v>36</v>
      </c>
      <c r="H31" s="12"/>
      <c r="I31" s="14" t="n">
        <f aca="false">SUMIF($C$5:$C$64,$G31,$E$5:$E$64)+SUMIF($G$5:$G$12,$G31,$I$5:$I$12)+SUMIF($G$16:$G$23,$G31,$I$16:$I$23)</f>
        <v>0</v>
      </c>
    </row>
    <row r="32" customFormat="false" ht="15" hidden="false" customHeight="true" outlineLevel="0" collapsed="false">
      <c r="A32" s="10"/>
      <c r="B32" s="11"/>
      <c r="C32" s="10"/>
      <c r="D32" s="10"/>
      <c r="E32" s="14"/>
      <c r="G32" s="17" t="s">
        <v>40</v>
      </c>
      <c r="H32" s="17"/>
      <c r="I32" s="14" t="n">
        <f aca="false">SUMIF($C$5:$C$64,$G32,$E$5:$E$64)+SUMIF($G$5:$G$12,$G32,$I$5:$I$12)+SUMIF($G$16:$G$23,$G32,$I$16:$I$23)</f>
        <v>0</v>
      </c>
      <c r="K32" s="6" t="s">
        <v>66</v>
      </c>
      <c r="L32" s="6"/>
      <c r="M32" s="6"/>
      <c r="N32" s="6"/>
    </row>
    <row r="33" customFormat="false" ht="15" hidden="false" customHeight="true" outlineLevel="0" collapsed="false">
      <c r="A33" s="10"/>
      <c r="B33" s="11"/>
      <c r="C33" s="10"/>
      <c r="D33" s="10"/>
      <c r="E33" s="14"/>
      <c r="G33" s="18" t="s">
        <v>42</v>
      </c>
      <c r="H33" s="18"/>
      <c r="I33" s="14" t="n">
        <f aca="false">SUMIF($C$5:$C$64,$G33,$E$5:$E$64)+SUMIF($G$5:$G$12,$G33,$I$5:$I$12)+SUMIF($G$16:$G$23,$G33,$I$16:$I$23)</f>
        <v>0</v>
      </c>
      <c r="K33" s="31" t="s">
        <v>67</v>
      </c>
      <c r="L33" s="31"/>
      <c r="M33" s="31"/>
      <c r="N33" s="33" t="n">
        <f aca="false">COUNT($E$5:$E$64)</f>
        <v>0</v>
      </c>
    </row>
    <row r="34" customFormat="false" ht="15" hidden="false" customHeight="true" outlineLevel="0" collapsed="false">
      <c r="A34" s="10"/>
      <c r="B34" s="11"/>
      <c r="C34" s="10"/>
      <c r="D34" s="10"/>
      <c r="E34" s="14"/>
      <c r="G34" s="23" t="s">
        <v>49</v>
      </c>
      <c r="H34" s="23"/>
      <c r="I34" s="14" t="n">
        <f aca="false">SUMIF($C$5:$C$64,$G34,$E$5:$E$64)+SUMIF($G$5:$G$12,$G34,$I$5:$I$12)+SUMIF($G$16:$G$23,$G34,$I$16:$I$23)</f>
        <v>0</v>
      </c>
      <c r="K34" s="31" t="s">
        <v>68</v>
      </c>
      <c r="L34" s="31"/>
      <c r="M34" s="31"/>
      <c r="N34" s="14" t="n">
        <f aca="false">IF(COUNT($E$5:$E$64)=0,0,MAX($E$5:$E$64))</f>
        <v>0</v>
      </c>
    </row>
    <row r="35" customFormat="false" ht="15" hidden="false" customHeight="true" outlineLevel="0" collapsed="false">
      <c r="A35" s="10"/>
      <c r="B35" s="11"/>
      <c r="C35" s="10"/>
      <c r="D35" s="10"/>
      <c r="E35" s="14"/>
      <c r="G35" s="34" t="s">
        <v>69</v>
      </c>
      <c r="H35" s="34"/>
      <c r="I35" s="14" t="n">
        <f aca="false">SUMIF($C$5:$C$64,$G35,$E$5:$E$64)+SUMIF($G$5:$G$12,$G35,$I$5:$I$12)+SUMIF($G$16:$G$23,$G35,$I$16:$I$23)</f>
        <v>0</v>
      </c>
      <c r="K35" s="31" t="s">
        <v>70</v>
      </c>
      <c r="L35" s="31"/>
      <c r="M35" s="31"/>
      <c r="N35" s="33" t="str">
        <f aca="false">IF($E$3=0,"—",INDEX($A$5:$A$64,MATCH(MAX($E$5:$E$64),$E$5:$E$64,0)))</f>
        <v>—</v>
      </c>
    </row>
    <row r="36" customFormat="false" ht="15" hidden="false" customHeight="true" outlineLevel="0" collapsed="false">
      <c r="A36" s="10"/>
      <c r="B36" s="11"/>
      <c r="C36" s="10"/>
      <c r="D36" s="10"/>
      <c r="E36" s="14"/>
      <c r="G36" s="28" t="s">
        <v>56</v>
      </c>
      <c r="H36" s="28"/>
      <c r="I36" s="14" t="n">
        <f aca="false">SUMIF($C$5:$C$64,$G36,$E$5:$E$64)+SUMIF($G$5:$G$12,$G36,$I$5:$I$12)+SUMIF($G$16:$G$23,$G36,$I$16:$I$23)</f>
        <v>0</v>
      </c>
      <c r="K36" s="31" t="s">
        <v>71</v>
      </c>
      <c r="L36" s="31"/>
      <c r="M36" s="31"/>
      <c r="N36" s="33" t="str">
        <f aca="false">IF($E$3=0,"—",INDEX($K$5:$K$16,MATCH(MAX($M$5:$M$16),$M$5:$M$16,0)))</f>
        <v>—</v>
      </c>
    </row>
    <row r="37" customFormat="false" ht="15" hidden="false" customHeight="true" outlineLevel="0" collapsed="false">
      <c r="A37" s="10"/>
      <c r="B37" s="11"/>
      <c r="C37" s="10"/>
      <c r="D37" s="10"/>
      <c r="E37" s="14"/>
      <c r="G37" s="10" t="s">
        <v>72</v>
      </c>
      <c r="H37" s="10"/>
      <c r="I37" s="14"/>
      <c r="K37" s="31" t="s">
        <v>73</v>
      </c>
      <c r="L37" s="31"/>
      <c r="M37" s="31"/>
      <c r="N37" s="14" t="n">
        <f aca="false">IFERROR(AVERAGE($E$5:$E$64),0)</f>
        <v>0</v>
      </c>
    </row>
    <row r="38" customFormat="false" ht="15" hidden="false" customHeight="true" outlineLevel="0" collapsed="false">
      <c r="A38" s="10"/>
      <c r="B38" s="11"/>
      <c r="C38" s="10"/>
      <c r="D38" s="10"/>
      <c r="E38" s="14"/>
      <c r="G38" s="10" t="s">
        <v>74</v>
      </c>
      <c r="H38" s="10"/>
      <c r="I38" s="14"/>
      <c r="K38" s="31" t="s">
        <v>75</v>
      </c>
      <c r="L38" s="31"/>
      <c r="M38" s="31"/>
      <c r="N38" s="14" t="n">
        <f aca="false">IFERROR($E$3/DAY(EOMONTH(DATE(2026,11,1),0)),0)</f>
        <v>0</v>
      </c>
    </row>
    <row r="39" customFormat="false" ht="15" hidden="false" customHeight="true" outlineLevel="0" collapsed="false">
      <c r="A39" s="10"/>
      <c r="B39" s="11"/>
      <c r="C39" s="10"/>
      <c r="D39" s="10"/>
      <c r="E39" s="14"/>
      <c r="G39" s="29" t="s">
        <v>76</v>
      </c>
      <c r="H39" s="29"/>
      <c r="I39" s="9" t="n">
        <f aca="false">SUM(I31:I38)</f>
        <v>0</v>
      </c>
      <c r="K39" s="31" t="s">
        <v>77</v>
      </c>
      <c r="L39" s="31"/>
      <c r="M39" s="31"/>
      <c r="N39" s="16" t="n">
        <f aca="false">IFERROR($I$39/$I$28,0)</f>
        <v>0</v>
      </c>
    </row>
    <row r="40" customFormat="false" ht="15" hidden="false" customHeight="false" outlineLevel="0" collapsed="false">
      <c r="A40" s="10"/>
      <c r="B40" s="11"/>
      <c r="C40" s="10"/>
      <c r="D40" s="10"/>
      <c r="E40" s="14"/>
    </row>
    <row r="41" customFormat="false" ht="15" hidden="false" customHeight="true" outlineLevel="0" collapsed="false">
      <c r="A41" s="10"/>
      <c r="B41" s="11"/>
      <c r="C41" s="10"/>
      <c r="D41" s="10"/>
      <c r="E41" s="14"/>
      <c r="G41" s="6" t="s">
        <v>78</v>
      </c>
      <c r="H41" s="6"/>
      <c r="I41" s="6"/>
    </row>
    <row r="42" customFormat="false" ht="15" hidden="false" customHeight="true" outlineLevel="0" collapsed="false">
      <c r="A42" s="10"/>
      <c r="B42" s="11"/>
      <c r="C42" s="10"/>
      <c r="D42" s="10"/>
      <c r="E42" s="14"/>
      <c r="G42" s="10" t="s">
        <v>72</v>
      </c>
      <c r="H42" s="10"/>
      <c r="I42" s="14"/>
    </row>
    <row r="43" customFormat="false" ht="15" hidden="false" customHeight="true" outlineLevel="0" collapsed="false">
      <c r="A43" s="10"/>
      <c r="B43" s="11"/>
      <c r="C43" s="10"/>
      <c r="D43" s="10"/>
      <c r="E43" s="14"/>
      <c r="G43" s="10" t="s">
        <v>79</v>
      </c>
      <c r="H43" s="10"/>
      <c r="I43" s="14"/>
    </row>
    <row r="44" customFormat="false" ht="15" hidden="false" customHeight="true" outlineLevel="0" collapsed="false">
      <c r="A44" s="10"/>
      <c r="B44" s="11"/>
      <c r="C44" s="10"/>
      <c r="D44" s="10"/>
      <c r="E44" s="14"/>
      <c r="G44" s="29" t="s">
        <v>57</v>
      </c>
      <c r="H44" s="29"/>
      <c r="I44" s="9" t="n">
        <f aca="false">SUM(I42:I43)</f>
        <v>0</v>
      </c>
    </row>
    <row r="45" customFormat="false" ht="15" hidden="false" customHeight="false" outlineLevel="0" collapsed="false">
      <c r="A45" s="10"/>
      <c r="B45" s="11"/>
      <c r="C45" s="10"/>
      <c r="D45" s="10"/>
      <c r="E45" s="14"/>
    </row>
    <row r="46" customFormat="false" ht="15" hidden="false" customHeight="true" outlineLevel="0" collapsed="false">
      <c r="A46" s="10"/>
      <c r="B46" s="11"/>
      <c r="C46" s="10"/>
      <c r="D46" s="10"/>
      <c r="E46" s="14"/>
      <c r="G46" s="6" t="s">
        <v>80</v>
      </c>
      <c r="H46" s="6"/>
      <c r="I46" s="6"/>
    </row>
    <row r="47" customFormat="false" ht="31.5" hidden="false" customHeight="true" outlineLevel="0" collapsed="false">
      <c r="A47" s="10"/>
      <c r="B47" s="11"/>
      <c r="C47" s="10"/>
      <c r="D47" s="10"/>
      <c r="E47" s="14"/>
      <c r="G47" s="35" t="n">
        <f aca="false">I28-I39</f>
        <v>0</v>
      </c>
      <c r="H47" s="35"/>
      <c r="I47" s="35"/>
    </row>
    <row r="48" customFormat="false" ht="15" hidden="false" customHeight="false" outlineLevel="0" collapsed="false">
      <c r="A48" s="10"/>
      <c r="B48" s="11"/>
      <c r="C48" s="10"/>
      <c r="D48" s="10"/>
      <c r="E48" s="14"/>
    </row>
    <row r="49" customFormat="false" ht="15" hidden="false" customHeight="false" outlineLevel="0" collapsed="false">
      <c r="A49" s="10"/>
      <c r="B49" s="11"/>
      <c r="C49" s="10"/>
      <c r="D49" s="10"/>
      <c r="E49" s="14"/>
    </row>
    <row r="50" customFormat="false" ht="15" hidden="false" customHeight="false" outlineLevel="0" collapsed="false">
      <c r="A50" s="10"/>
      <c r="B50" s="11"/>
      <c r="C50" s="10"/>
      <c r="D50" s="10"/>
      <c r="E50" s="14"/>
    </row>
    <row r="51" customFormat="false" ht="15" hidden="false" customHeight="false" outlineLevel="0" collapsed="false">
      <c r="A51" s="10"/>
      <c r="B51" s="11"/>
      <c r="C51" s="10"/>
      <c r="D51" s="10"/>
      <c r="E51" s="14"/>
    </row>
    <row r="52" customFormat="false" ht="15" hidden="false" customHeight="false" outlineLevel="0" collapsed="false">
      <c r="A52" s="10"/>
      <c r="B52" s="11"/>
      <c r="C52" s="10"/>
      <c r="D52" s="10"/>
      <c r="E52" s="14"/>
    </row>
    <row r="53" customFormat="false" ht="15" hidden="false" customHeight="false" outlineLevel="0" collapsed="false">
      <c r="A53" s="10"/>
      <c r="B53" s="11"/>
      <c r="C53" s="10"/>
      <c r="D53" s="10"/>
      <c r="E53" s="14"/>
    </row>
    <row r="54" customFormat="false" ht="15" hidden="false" customHeight="false" outlineLevel="0" collapsed="false">
      <c r="A54" s="10"/>
      <c r="B54" s="11"/>
      <c r="C54" s="10"/>
      <c r="D54" s="10"/>
      <c r="E54" s="14"/>
    </row>
    <row r="55" customFormat="false" ht="15" hidden="false" customHeight="false" outlineLevel="0" collapsed="false">
      <c r="A55" s="10"/>
      <c r="B55" s="11"/>
      <c r="C55" s="10"/>
      <c r="D55" s="10"/>
      <c r="E55" s="14"/>
    </row>
    <row r="56" customFormat="false" ht="15" hidden="false" customHeight="false" outlineLevel="0" collapsed="false">
      <c r="A56" s="10"/>
      <c r="B56" s="11"/>
      <c r="C56" s="10"/>
      <c r="D56" s="10"/>
      <c r="E56" s="14"/>
    </row>
    <row r="57" customFormat="false" ht="15" hidden="false" customHeight="false" outlineLevel="0" collapsed="false">
      <c r="A57" s="10"/>
      <c r="B57" s="11"/>
      <c r="C57" s="10"/>
      <c r="D57" s="10"/>
      <c r="E57" s="14"/>
    </row>
    <row r="58" customFormat="false" ht="15" hidden="false" customHeight="false" outlineLevel="0" collapsed="false">
      <c r="A58" s="10"/>
      <c r="B58" s="11"/>
      <c r="C58" s="10"/>
      <c r="D58" s="10"/>
      <c r="E58" s="14"/>
    </row>
    <row r="59" customFormat="false" ht="15" hidden="false" customHeight="false" outlineLevel="0" collapsed="false">
      <c r="A59" s="10"/>
      <c r="B59" s="11"/>
      <c r="C59" s="10"/>
      <c r="D59" s="10"/>
      <c r="E59" s="14"/>
    </row>
    <row r="60" customFormat="false" ht="15" hidden="false" customHeight="false" outlineLevel="0" collapsed="false">
      <c r="A60" s="10"/>
      <c r="B60" s="11"/>
      <c r="C60" s="10"/>
      <c r="D60" s="10"/>
      <c r="E60" s="14"/>
    </row>
    <row r="61" customFormat="false" ht="15" hidden="false" customHeight="false" outlineLevel="0" collapsed="false">
      <c r="A61" s="10"/>
      <c r="B61" s="11"/>
      <c r="C61" s="10"/>
      <c r="D61" s="10"/>
      <c r="E61" s="14"/>
    </row>
    <row r="62" customFormat="false" ht="15" hidden="false" customHeight="false" outlineLevel="0" collapsed="false">
      <c r="A62" s="10"/>
      <c r="B62" s="11"/>
      <c r="C62" s="10"/>
      <c r="D62" s="10"/>
      <c r="E62" s="14"/>
    </row>
    <row r="63" customFormat="false" ht="15" hidden="false" customHeight="false" outlineLevel="0" collapsed="false">
      <c r="A63" s="10"/>
      <c r="B63" s="11"/>
      <c r="C63" s="10"/>
      <c r="D63" s="10"/>
      <c r="E63" s="14"/>
    </row>
    <row r="64" customFormat="false" ht="15" hidden="false" customHeight="false" outlineLevel="0" collapsed="false">
      <c r="A64" s="10"/>
      <c r="B64" s="11"/>
      <c r="C64" s="10"/>
      <c r="D64" s="10"/>
      <c r="E64" s="14"/>
    </row>
  </sheetData>
  <mergeCells count="34">
    <mergeCell ref="A1:N1"/>
    <mergeCell ref="A3:C3"/>
    <mergeCell ref="G3:H3"/>
    <mergeCell ref="K3:N3"/>
    <mergeCell ref="G14:H14"/>
    <mergeCell ref="K19:N19"/>
    <mergeCell ref="G25:I25"/>
    <mergeCell ref="G26:H26"/>
    <mergeCell ref="G27:H27"/>
    <mergeCell ref="G28:H28"/>
    <mergeCell ref="G30:I30"/>
    <mergeCell ref="G31:H31"/>
    <mergeCell ref="G32:H32"/>
    <mergeCell ref="K32:N32"/>
    <mergeCell ref="G33:H33"/>
    <mergeCell ref="K33:M33"/>
    <mergeCell ref="G34:H34"/>
    <mergeCell ref="K34:M34"/>
    <mergeCell ref="G35:H35"/>
    <mergeCell ref="K35:M35"/>
    <mergeCell ref="G36:H36"/>
    <mergeCell ref="K36:M36"/>
    <mergeCell ref="G37:H37"/>
    <mergeCell ref="K37:M37"/>
    <mergeCell ref="G38:H38"/>
    <mergeCell ref="K38:M38"/>
    <mergeCell ref="G39:H39"/>
    <mergeCell ref="K39:M39"/>
    <mergeCell ref="G41:I41"/>
    <mergeCell ref="G42:H42"/>
    <mergeCell ref="G43:H43"/>
    <mergeCell ref="G44:H44"/>
    <mergeCell ref="G46:I46"/>
    <mergeCell ref="G47:I47"/>
  </mergeCells>
  <conditionalFormatting sqref="C5:C64">
    <cfRule type="containsText" priority="2" operator="containsText" aboveAverage="0" equalAverage="0" bottom="0" percent="0" rank="0" text="Débito" dxfId="0">
      <formula>NOT(ISERROR(SEARCH("Débito",C5)))</formula>
    </cfRule>
    <cfRule type="containsText" priority="3" operator="containsText" aboveAverage="0" equalAverage="0" bottom="0" percent="0" rank="0" text="Crédito" dxfId="1">
      <formula>NOT(ISERROR(SEARCH("Crédito",C5)))</formula>
    </cfRule>
    <cfRule type="containsText" priority="4" operator="containsText" aboveAverage="0" equalAverage="0" bottom="0" percent="0" rank="0" text="Pix" dxfId="2">
      <formula>NOT(ISERROR(SEARCH("Pix",C5)))</formula>
    </cfRule>
    <cfRule type="containsText" priority="5" operator="containsText" aboveAverage="0" equalAverage="0" bottom="0" percent="0" rank="0" text="Dinheiro" dxfId="3">
      <formula>NOT(ISERROR(SEARCH("Dinheiro",C5)))</formula>
    </cfRule>
    <cfRule type="containsText" priority="6" operator="containsText" aboveAverage="0" equalAverage="0" bottom="0" percent="0" rank="0" text="Voucher" dxfId="4">
      <formula>NOT(ISERROR(SEARCH("Voucher",C5)))</formula>
    </cfRule>
    <cfRule type="containsText" priority="7" operator="containsText" aboveAverage="0" equalAverage="0" bottom="0" percent="0" rank="0" text="Outros" dxfId="5">
      <formula>NOT(ISERROR(SEARCH("Outros",C5)))</formula>
    </cfRule>
  </conditionalFormatting>
  <conditionalFormatting sqref="D5:D64">
    <cfRule type="containsText" priority="8" operator="containsText" aboveAverage="0" equalAverage="0" bottom="0" percent="0" rank="0" text="Mercado" dxfId="6">
      <formula>NOT(ISERROR(SEARCH("Mercado",D5)))</formula>
    </cfRule>
    <cfRule type="containsText" priority="9" operator="containsText" aboveAverage="0" equalAverage="0" bottom="0" percent="0" rank="0" text="Alimentação" dxfId="7">
      <formula>NOT(ISERROR(SEARCH("Alimentação",D5)))</formula>
    </cfRule>
    <cfRule type="containsText" priority="10" operator="containsText" aboveAverage="0" equalAverage="0" bottom="0" percent="0" rank="0" text="Farmácia" dxfId="8">
      <formula>NOT(ISERROR(SEARCH("Farmácia",D5)))</formula>
    </cfRule>
    <cfRule type="containsText" priority="11" operator="containsText" aboveAverage="0" equalAverage="0" bottom="0" percent="0" rank="0" text="Combustível" dxfId="9">
      <formula>NOT(ISERROR(SEARCH("Combustível",D5)))</formula>
    </cfRule>
    <cfRule type="containsText" priority="12" operator="containsText" aboveAverage="0" equalAverage="0" bottom="0" percent="0" rank="0" text="Transporte" dxfId="10">
      <formula>NOT(ISERROR(SEARCH("Transporte",D5)))</formula>
    </cfRule>
    <cfRule type="containsText" priority="13" operator="containsText" aboveAverage="0" equalAverage="0" bottom="0" percent="0" rank="0" text="Vestuário" dxfId="1">
      <formula>NOT(ISERROR(SEARCH("Vestuário",D5)))</formula>
    </cfRule>
    <cfRule type="containsText" priority="14" operator="containsText" aboveAverage="0" equalAverage="0" bottom="0" percent="0" rank="0" text="Eletrônicos" dxfId="11">
      <formula>NOT(ISERROR(SEARCH("Eletrônicos",D5)))</formula>
    </cfRule>
    <cfRule type="containsText" priority="15" operator="containsText" aboveAverage="0" equalAverage="0" bottom="0" percent="0" rank="0" text="Casa" dxfId="12">
      <formula>NOT(ISERROR(SEARCH("Casa",D5)))</formula>
    </cfRule>
    <cfRule type="containsText" priority="16" operator="containsText" aboveAverage="0" equalAverage="0" bottom="0" percent="0" rank="0" text="Saúde" dxfId="13">
      <formula>NOT(ISERROR(SEARCH("Saúde",D5)))</formula>
    </cfRule>
    <cfRule type="containsText" priority="17" operator="containsText" aboveAverage="0" equalAverage="0" bottom="0" percent="0" rank="0" text="Lazer" dxfId="14">
      <formula>NOT(ISERROR(SEARCH("Lazer",D5)))</formula>
    </cfRule>
    <cfRule type="containsText" priority="18" operator="containsText" aboveAverage="0" equalAverage="0" bottom="0" percent="0" rank="0" text="Serviços" dxfId="15">
      <formula>NOT(ISERROR(SEARCH("Serviços",D5)))</formula>
    </cfRule>
    <cfRule type="containsText" priority="19" operator="containsText" aboveAverage="0" equalAverage="0" bottom="0" percent="0" rank="0" text="Outros" dxfId="5">
      <formula>NOT(ISERROR(SEARCH("Outros",D5)))</formula>
    </cfRule>
  </conditionalFormatting>
  <dataValidations count="3">
    <dataValidation allowBlank="true" errorStyle="stop" operator="between" showDropDown="false" showErrorMessage="false" showInputMessage="false" sqref="D5:D24 H5:H12 H16:H23 D25:D64" type="list">
      <formula1>"Alimentação,Mercado,Farmácia,Combustível,Transporte,Vestuário,Eletrônicos,Casa,Saúde,Lazer,Serviços,Outros"</formula1>
      <formula2>0</formula2>
    </dataValidation>
    <dataValidation allowBlank="true" errorStyle="stop" operator="between" showDropDown="false" showErrorMessage="false" showInputMessage="false" sqref="C5:C24 G5:G12 G16:G23 C25:C64" type="list">
      <formula1>"Débito,Crédito,Pix,Dinheiro,Voucher,Outros"</formula1>
      <formula2>0</formula2>
    </dataValidation>
    <dataValidation allowBlank="true" errorStyle="stop" operator="between" showDropDown="false" showErrorMessage="false" showInputMessage="false" sqref="N21:N3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88A89"/>
    <pageSetUpPr fitToPage="false"/>
  </sheetPr>
  <dimension ref="A1:N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2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2"/>
    <col collapsed="false" customWidth="true" hidden="false" outlineLevel="0" max="11" min="11" style="0" width="17"/>
    <col collapsed="false" customWidth="true" hidden="false" outlineLevel="0" max="12" min="12" style="0" width="13"/>
    <col collapsed="false" customWidth="true" hidden="false" outlineLevel="0" max="14" min="13" style="0" width="12"/>
    <col collapsed="false" customWidth="true" hidden="false" outlineLevel="0" max="15" min="15" style="0" width="2"/>
  </cols>
  <sheetData>
    <row r="1" customFormat="false" ht="33.75" hidden="false" customHeight="true" outlineLevel="0" collapsed="false">
      <c r="A1" s="1" t="s">
        <v>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9.7" hidden="false" customHeight="true" outlineLevel="0" collapsed="false">
      <c r="A3" s="6" t="s">
        <v>23</v>
      </c>
      <c r="B3" s="6"/>
      <c r="C3" s="6"/>
      <c r="D3" s="7" t="s">
        <v>24</v>
      </c>
      <c r="E3" s="8" t="n">
        <f aca="false">SUM(E5:E64)</f>
        <v>0</v>
      </c>
      <c r="G3" s="6" t="s">
        <v>25</v>
      </c>
      <c r="H3" s="6"/>
      <c r="I3" s="9" t="n">
        <f aca="false">SUM(I5:I12)</f>
        <v>0</v>
      </c>
      <c r="K3" s="6" t="s">
        <v>26</v>
      </c>
      <c r="L3" s="6"/>
      <c r="M3" s="6"/>
      <c r="N3" s="6"/>
    </row>
    <row r="4" customFormat="false" ht="15" hidden="false" customHeight="false" outlineLevel="0" collapsed="false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G4" s="6" t="s">
        <v>29</v>
      </c>
      <c r="H4" s="6" t="s">
        <v>30</v>
      </c>
      <c r="I4" s="6" t="s">
        <v>31</v>
      </c>
      <c r="K4" s="6" t="s">
        <v>30</v>
      </c>
      <c r="L4" s="6" t="s">
        <v>32</v>
      </c>
      <c r="M4" s="6" t="s">
        <v>33</v>
      </c>
      <c r="N4" s="6" t="s">
        <v>34</v>
      </c>
    </row>
    <row r="5" customFormat="false" ht="15" hidden="false" customHeight="false" outlineLevel="0" collapsed="false">
      <c r="A5" s="10"/>
      <c r="B5" s="11"/>
      <c r="C5" s="10"/>
      <c r="D5" s="10"/>
      <c r="E5" s="14"/>
      <c r="G5" s="10"/>
      <c r="H5" s="10"/>
      <c r="I5" s="14"/>
      <c r="K5" s="15" t="s">
        <v>38</v>
      </c>
      <c r="L5" s="14"/>
      <c r="M5" s="14" t="n">
        <f aca="false">SUMIF($D$5:$D$64,$K5,$E$5:$E$64)</f>
        <v>0</v>
      </c>
      <c r="N5" s="16" t="n">
        <f aca="false">IFERROR(M5/$E$3,0)</f>
        <v>0</v>
      </c>
    </row>
    <row r="6" customFormat="false" ht="15" hidden="false" customHeight="false" outlineLevel="0" collapsed="false">
      <c r="A6" s="10"/>
      <c r="B6" s="11"/>
      <c r="C6" s="10"/>
      <c r="D6" s="10"/>
      <c r="E6" s="14"/>
      <c r="G6" s="10"/>
      <c r="H6" s="10"/>
      <c r="I6" s="14"/>
      <c r="K6" s="13" t="s">
        <v>37</v>
      </c>
      <c r="L6" s="14"/>
      <c r="M6" s="14" t="n">
        <f aca="false">SUMIF($D$5:$D$64,$K6,$E$5:$E$64)</f>
        <v>0</v>
      </c>
      <c r="N6" s="16" t="n">
        <f aca="false">IFERROR(M6/$E$3,0)</f>
        <v>0</v>
      </c>
    </row>
    <row r="7" customFormat="false" ht="15" hidden="false" customHeight="false" outlineLevel="0" collapsed="false">
      <c r="A7" s="10"/>
      <c r="B7" s="11"/>
      <c r="C7" s="10"/>
      <c r="D7" s="10"/>
      <c r="E7" s="14"/>
      <c r="G7" s="10"/>
      <c r="H7" s="10"/>
      <c r="I7" s="14"/>
      <c r="K7" s="20" t="s">
        <v>44</v>
      </c>
      <c r="L7" s="14"/>
      <c r="M7" s="14" t="n">
        <f aca="false">SUMIF($D$5:$D$64,$K7,$E$5:$E$64)</f>
        <v>0</v>
      </c>
      <c r="N7" s="16" t="n">
        <f aca="false">IFERROR(M7/$E$3,0)</f>
        <v>0</v>
      </c>
    </row>
    <row r="8" customFormat="false" ht="15" hidden="false" customHeight="false" outlineLevel="0" collapsed="false">
      <c r="A8" s="10"/>
      <c r="B8" s="11"/>
      <c r="C8" s="10"/>
      <c r="D8" s="10"/>
      <c r="E8" s="14"/>
      <c r="G8" s="10"/>
      <c r="H8" s="10"/>
      <c r="I8" s="14"/>
      <c r="K8" s="22" t="s">
        <v>47</v>
      </c>
      <c r="L8" s="14"/>
      <c r="M8" s="14" t="n">
        <f aca="false">SUMIF($D$5:$D$64,$K8,$E$5:$E$64)</f>
        <v>0</v>
      </c>
      <c r="N8" s="16" t="n">
        <f aca="false">IFERROR(M8/$E$3,0)</f>
        <v>0</v>
      </c>
    </row>
    <row r="9" customFormat="false" ht="15" hidden="false" customHeight="false" outlineLevel="0" collapsed="false">
      <c r="A9" s="10"/>
      <c r="B9" s="11"/>
      <c r="C9" s="10"/>
      <c r="D9" s="10"/>
      <c r="E9" s="14"/>
      <c r="G9" s="10"/>
      <c r="H9" s="10"/>
      <c r="I9" s="14"/>
      <c r="K9" s="19" t="s">
        <v>43</v>
      </c>
      <c r="L9" s="14"/>
      <c r="M9" s="14" t="n">
        <f aca="false">SUMIF($D$5:$D$64,$K9,$E$5:$E$64)</f>
        <v>0</v>
      </c>
      <c r="N9" s="16" t="n">
        <f aca="false">IFERROR(M9/$E$3,0)</f>
        <v>0</v>
      </c>
    </row>
    <row r="10" customFormat="false" ht="15" hidden="false" customHeight="false" outlineLevel="0" collapsed="false">
      <c r="A10" s="10"/>
      <c r="B10" s="11"/>
      <c r="C10" s="10"/>
      <c r="D10" s="10"/>
      <c r="E10" s="14"/>
      <c r="G10" s="10"/>
      <c r="H10" s="10"/>
      <c r="I10" s="14"/>
      <c r="K10" s="17" t="s">
        <v>50</v>
      </c>
      <c r="L10" s="14"/>
      <c r="M10" s="14" t="n">
        <f aca="false">SUMIF($D$5:$D$64,$K10,$E$5:$E$64)</f>
        <v>0</v>
      </c>
      <c r="N10" s="16" t="n">
        <f aca="false">IFERROR(M10/$E$3,0)</f>
        <v>0</v>
      </c>
    </row>
    <row r="11" customFormat="false" ht="15" hidden="false" customHeight="false" outlineLevel="0" collapsed="false">
      <c r="A11" s="10"/>
      <c r="B11" s="11"/>
      <c r="C11" s="10"/>
      <c r="D11" s="10"/>
      <c r="E11" s="14"/>
      <c r="G11" s="10"/>
      <c r="H11" s="10"/>
      <c r="I11" s="14"/>
      <c r="K11" s="24" t="s">
        <v>51</v>
      </c>
      <c r="L11" s="14"/>
      <c r="M11" s="14" t="n">
        <f aca="false">SUMIF($D$5:$D$64,$K11,$E$5:$E$64)</f>
        <v>0</v>
      </c>
      <c r="N11" s="16" t="n">
        <f aca="false">IFERROR(M11/$E$3,0)</f>
        <v>0</v>
      </c>
    </row>
    <row r="12" customFormat="false" ht="15" hidden="false" customHeight="false" outlineLevel="0" collapsed="false">
      <c r="A12" s="10"/>
      <c r="B12" s="11"/>
      <c r="C12" s="10"/>
      <c r="D12" s="10"/>
      <c r="E12" s="14"/>
      <c r="G12" s="10"/>
      <c r="H12" s="10"/>
      <c r="I12" s="14"/>
      <c r="K12" s="21" t="s">
        <v>46</v>
      </c>
      <c r="L12" s="14"/>
      <c r="M12" s="14" t="n">
        <f aca="false">SUMIF($D$5:$D$64,$K12,$E$5:$E$64)</f>
        <v>0</v>
      </c>
      <c r="N12" s="16" t="n">
        <f aca="false">IFERROR(M12/$E$3,0)</f>
        <v>0</v>
      </c>
    </row>
    <row r="13" customFormat="false" ht="15" hidden="false" customHeight="false" outlineLevel="0" collapsed="false">
      <c r="A13" s="10"/>
      <c r="B13" s="11"/>
      <c r="C13" s="10"/>
      <c r="D13" s="10"/>
      <c r="E13" s="14"/>
      <c r="K13" s="25" t="s">
        <v>52</v>
      </c>
      <c r="L13" s="14"/>
      <c r="M13" s="14" t="n">
        <f aca="false">SUMIF($D$5:$D$64,$K13,$E$5:$E$64)</f>
        <v>0</v>
      </c>
      <c r="N13" s="16" t="n">
        <f aca="false">IFERROR(M13/$E$3,0)</f>
        <v>0</v>
      </c>
    </row>
    <row r="14" customFormat="false" ht="26.85" hidden="false" customHeight="true" outlineLevel="0" collapsed="false">
      <c r="A14" s="10"/>
      <c r="B14" s="11"/>
      <c r="C14" s="10"/>
      <c r="D14" s="10"/>
      <c r="E14" s="14"/>
      <c r="G14" s="6" t="s">
        <v>53</v>
      </c>
      <c r="H14" s="6"/>
      <c r="I14" s="9" t="n">
        <f aca="false">SUM(I16:I23)</f>
        <v>0</v>
      </c>
      <c r="K14" s="26" t="s">
        <v>54</v>
      </c>
      <c r="L14" s="14"/>
      <c r="M14" s="14" t="n">
        <f aca="false">SUMIF($D$5:$D$64,$K14,$E$5:$E$64)</f>
        <v>0</v>
      </c>
      <c r="N14" s="16" t="n">
        <f aca="false">IFERROR(M14/$E$3,0)</f>
        <v>0</v>
      </c>
    </row>
    <row r="15" customFormat="false" ht="15" hidden="false" customHeight="false" outlineLevel="0" collapsed="false">
      <c r="A15" s="10"/>
      <c r="B15" s="11"/>
      <c r="C15" s="10"/>
      <c r="D15" s="10"/>
      <c r="E15" s="14"/>
      <c r="G15" s="6" t="s">
        <v>29</v>
      </c>
      <c r="H15" s="6" t="s">
        <v>30</v>
      </c>
      <c r="I15" s="6" t="s">
        <v>31</v>
      </c>
      <c r="K15" s="27" t="s">
        <v>55</v>
      </c>
      <c r="L15" s="14"/>
      <c r="M15" s="14" t="n">
        <f aca="false">SUMIF($D$5:$D$64,$K15,$E$5:$E$64)</f>
        <v>0</v>
      </c>
      <c r="N15" s="16" t="n">
        <f aca="false">IFERROR(M15/$E$3,0)</f>
        <v>0</v>
      </c>
    </row>
    <row r="16" customFormat="false" ht="15" hidden="false" customHeight="false" outlineLevel="0" collapsed="false">
      <c r="A16" s="10"/>
      <c r="B16" s="11"/>
      <c r="C16" s="10"/>
      <c r="D16" s="10"/>
      <c r="E16" s="14"/>
      <c r="G16" s="10"/>
      <c r="H16" s="10"/>
      <c r="I16" s="14"/>
      <c r="K16" s="28" t="s">
        <v>56</v>
      </c>
      <c r="L16" s="14"/>
      <c r="M16" s="14" t="n">
        <f aca="false">SUMIF($D$5:$D$64,$K16,$E$5:$E$64)</f>
        <v>0</v>
      </c>
      <c r="N16" s="16" t="n">
        <f aca="false">IFERROR(M16/$E$3,0)</f>
        <v>0</v>
      </c>
    </row>
    <row r="17" customFormat="false" ht="15" hidden="false" customHeight="false" outlineLevel="0" collapsed="false">
      <c r="A17" s="10"/>
      <c r="B17" s="11"/>
      <c r="C17" s="10"/>
      <c r="D17" s="10"/>
      <c r="E17" s="14"/>
      <c r="G17" s="10"/>
      <c r="H17" s="10"/>
      <c r="I17" s="14"/>
      <c r="K17" s="29" t="s">
        <v>57</v>
      </c>
      <c r="L17" s="9" t="n">
        <f aca="false">SUM(L5:L16)</f>
        <v>0</v>
      </c>
      <c r="M17" s="9" t="n">
        <f aca="false">SUM(M5:M16)</f>
        <v>0</v>
      </c>
      <c r="N17" s="30" t="n">
        <f aca="false">IFERROR(M17/$E$3,0)</f>
        <v>0</v>
      </c>
    </row>
    <row r="18" customFormat="false" ht="15" hidden="false" customHeight="false" outlineLevel="0" collapsed="false">
      <c r="A18" s="10"/>
      <c r="B18" s="11"/>
      <c r="C18" s="10"/>
      <c r="D18" s="10"/>
      <c r="E18" s="14"/>
      <c r="G18" s="10"/>
      <c r="H18" s="10"/>
      <c r="I18" s="14"/>
    </row>
    <row r="19" customFormat="false" ht="15" hidden="false" customHeight="true" outlineLevel="0" collapsed="false">
      <c r="A19" s="10"/>
      <c r="B19" s="11"/>
      <c r="C19" s="10"/>
      <c r="D19" s="10"/>
      <c r="E19" s="14"/>
      <c r="G19" s="10"/>
      <c r="H19" s="10"/>
      <c r="I19" s="14"/>
      <c r="K19" s="6" t="s">
        <v>58</v>
      </c>
      <c r="L19" s="6"/>
      <c r="M19" s="6"/>
      <c r="N19" s="6"/>
    </row>
    <row r="20" customFormat="false" ht="15" hidden="false" customHeight="false" outlineLevel="0" collapsed="false">
      <c r="A20" s="10"/>
      <c r="B20" s="11"/>
      <c r="C20" s="10"/>
      <c r="D20" s="10"/>
      <c r="E20" s="14"/>
      <c r="G20" s="10"/>
      <c r="H20" s="10"/>
      <c r="I20" s="14"/>
      <c r="K20" s="6" t="s">
        <v>59</v>
      </c>
      <c r="L20" s="6" t="s">
        <v>31</v>
      </c>
      <c r="M20" s="6" t="s">
        <v>60</v>
      </c>
      <c r="N20" s="6" t="s">
        <v>61</v>
      </c>
    </row>
    <row r="21" customFormat="false" ht="15" hidden="false" customHeight="false" outlineLevel="0" collapsed="false">
      <c r="A21" s="10"/>
      <c r="B21" s="11"/>
      <c r="C21" s="10"/>
      <c r="D21" s="10"/>
      <c r="E21" s="14"/>
      <c r="G21" s="10"/>
      <c r="H21" s="10"/>
      <c r="I21" s="14"/>
      <c r="K21" s="10"/>
      <c r="L21" s="14"/>
      <c r="M21" s="11"/>
      <c r="N21" s="10"/>
    </row>
    <row r="22" customFormat="false" ht="15" hidden="false" customHeight="false" outlineLevel="0" collapsed="false">
      <c r="A22" s="10"/>
      <c r="B22" s="11"/>
      <c r="C22" s="10"/>
      <c r="D22" s="10"/>
      <c r="E22" s="14"/>
      <c r="G22" s="10"/>
      <c r="H22" s="10"/>
      <c r="I22" s="14"/>
      <c r="K22" s="10"/>
      <c r="L22" s="14"/>
      <c r="M22" s="11"/>
      <c r="N22" s="10"/>
    </row>
    <row r="23" customFormat="false" ht="15" hidden="false" customHeight="false" outlineLevel="0" collapsed="false">
      <c r="A23" s="10"/>
      <c r="B23" s="11"/>
      <c r="C23" s="10"/>
      <c r="D23" s="10"/>
      <c r="E23" s="14"/>
      <c r="G23" s="10"/>
      <c r="H23" s="10"/>
      <c r="I23" s="14"/>
      <c r="K23" s="10"/>
      <c r="L23" s="14"/>
      <c r="M23" s="11"/>
      <c r="N23" s="10"/>
    </row>
    <row r="24" customFormat="false" ht="15" hidden="false" customHeight="false" outlineLevel="0" collapsed="false">
      <c r="A24" s="10"/>
      <c r="B24" s="11"/>
      <c r="C24" s="10"/>
      <c r="D24" s="10"/>
      <c r="E24" s="14"/>
      <c r="K24" s="10"/>
      <c r="L24" s="14"/>
      <c r="M24" s="11"/>
      <c r="N24" s="10"/>
    </row>
    <row r="25" customFormat="false" ht="15" hidden="false" customHeight="true" outlineLevel="0" collapsed="false">
      <c r="A25" s="10"/>
      <c r="B25" s="11"/>
      <c r="C25" s="10"/>
      <c r="D25" s="10"/>
      <c r="E25" s="14"/>
      <c r="G25" s="6" t="s">
        <v>62</v>
      </c>
      <c r="H25" s="6"/>
      <c r="I25" s="6"/>
      <c r="K25" s="10"/>
      <c r="L25" s="14"/>
      <c r="M25" s="11"/>
      <c r="N25" s="10"/>
    </row>
    <row r="26" customFormat="false" ht="15" hidden="false" customHeight="true" outlineLevel="0" collapsed="false">
      <c r="A26" s="10"/>
      <c r="B26" s="11"/>
      <c r="C26" s="10"/>
      <c r="D26" s="10"/>
      <c r="E26" s="14"/>
      <c r="G26" s="31" t="s">
        <v>63</v>
      </c>
      <c r="H26" s="31"/>
      <c r="I26" s="14"/>
      <c r="K26" s="10"/>
      <c r="L26" s="14"/>
      <c r="M26" s="11"/>
      <c r="N26" s="10"/>
    </row>
    <row r="27" customFormat="false" ht="15" hidden="false" customHeight="true" outlineLevel="0" collapsed="false">
      <c r="A27" s="10"/>
      <c r="B27" s="11"/>
      <c r="C27" s="10"/>
      <c r="D27" s="10"/>
      <c r="E27" s="14"/>
      <c r="G27" s="31" t="s">
        <v>64</v>
      </c>
      <c r="H27" s="31"/>
      <c r="I27" s="14"/>
      <c r="K27" s="10"/>
      <c r="L27" s="14"/>
      <c r="M27" s="11"/>
      <c r="N27" s="10"/>
    </row>
    <row r="28" customFormat="false" ht="15" hidden="false" customHeight="true" outlineLevel="0" collapsed="false">
      <c r="A28" s="10"/>
      <c r="B28" s="11"/>
      <c r="C28" s="10"/>
      <c r="D28" s="10"/>
      <c r="E28" s="14"/>
      <c r="G28" s="32" t="s">
        <v>57</v>
      </c>
      <c r="H28" s="32"/>
      <c r="I28" s="9" t="n">
        <f aca="false">SUM(I26:I27)</f>
        <v>0</v>
      </c>
      <c r="K28" s="10"/>
      <c r="L28" s="14"/>
      <c r="M28" s="11"/>
      <c r="N28" s="10"/>
    </row>
    <row r="29" customFormat="false" ht="15" hidden="false" customHeight="false" outlineLevel="0" collapsed="false">
      <c r="A29" s="10"/>
      <c r="B29" s="11"/>
      <c r="C29" s="10"/>
      <c r="D29" s="10"/>
      <c r="E29" s="14"/>
      <c r="K29" s="10"/>
      <c r="L29" s="14"/>
      <c r="M29" s="11"/>
      <c r="N29" s="10"/>
    </row>
    <row r="30" customFormat="false" ht="15" hidden="false" customHeight="true" outlineLevel="0" collapsed="false">
      <c r="A30" s="10"/>
      <c r="B30" s="11"/>
      <c r="C30" s="10"/>
      <c r="D30" s="10"/>
      <c r="E30" s="14"/>
      <c r="G30" s="6" t="s">
        <v>65</v>
      </c>
      <c r="H30" s="6"/>
      <c r="I30" s="6"/>
      <c r="K30" s="10"/>
      <c r="L30" s="14"/>
      <c r="M30" s="11"/>
      <c r="N30" s="10"/>
    </row>
    <row r="31" customFormat="false" ht="15" hidden="false" customHeight="true" outlineLevel="0" collapsed="false">
      <c r="A31" s="10"/>
      <c r="B31" s="11"/>
      <c r="C31" s="10"/>
      <c r="D31" s="10"/>
      <c r="E31" s="14"/>
      <c r="G31" s="12" t="s">
        <v>36</v>
      </c>
      <c r="H31" s="12"/>
      <c r="I31" s="14" t="n">
        <f aca="false">SUMIF($C$5:$C$64,$G31,$E$5:$E$64)+SUMIF($G$5:$G$12,$G31,$I$5:$I$12)+SUMIF($G$16:$G$23,$G31,$I$16:$I$23)</f>
        <v>0</v>
      </c>
    </row>
    <row r="32" customFormat="false" ht="15" hidden="false" customHeight="true" outlineLevel="0" collapsed="false">
      <c r="A32" s="10"/>
      <c r="B32" s="11"/>
      <c r="C32" s="10"/>
      <c r="D32" s="10"/>
      <c r="E32" s="14"/>
      <c r="G32" s="17" t="s">
        <v>40</v>
      </c>
      <c r="H32" s="17"/>
      <c r="I32" s="14" t="n">
        <f aca="false">SUMIF($C$5:$C$64,$G32,$E$5:$E$64)+SUMIF($G$5:$G$12,$G32,$I$5:$I$12)+SUMIF($G$16:$G$23,$G32,$I$16:$I$23)</f>
        <v>0</v>
      </c>
      <c r="K32" s="6" t="s">
        <v>66</v>
      </c>
      <c r="L32" s="6"/>
      <c r="M32" s="6"/>
      <c r="N32" s="6"/>
    </row>
    <row r="33" customFormat="false" ht="15" hidden="false" customHeight="true" outlineLevel="0" collapsed="false">
      <c r="A33" s="10"/>
      <c r="B33" s="11"/>
      <c r="C33" s="10"/>
      <c r="D33" s="10"/>
      <c r="E33" s="14"/>
      <c r="G33" s="18" t="s">
        <v>42</v>
      </c>
      <c r="H33" s="18"/>
      <c r="I33" s="14" t="n">
        <f aca="false">SUMIF($C$5:$C$64,$G33,$E$5:$E$64)+SUMIF($G$5:$G$12,$G33,$I$5:$I$12)+SUMIF($G$16:$G$23,$G33,$I$16:$I$23)</f>
        <v>0</v>
      </c>
      <c r="K33" s="31" t="s">
        <v>67</v>
      </c>
      <c r="L33" s="31"/>
      <c r="M33" s="31"/>
      <c r="N33" s="33" t="n">
        <f aca="false">COUNT($E$5:$E$64)</f>
        <v>0</v>
      </c>
    </row>
    <row r="34" customFormat="false" ht="15" hidden="false" customHeight="true" outlineLevel="0" collapsed="false">
      <c r="A34" s="10"/>
      <c r="B34" s="11"/>
      <c r="C34" s="10"/>
      <c r="D34" s="10"/>
      <c r="E34" s="14"/>
      <c r="G34" s="23" t="s">
        <v>49</v>
      </c>
      <c r="H34" s="23"/>
      <c r="I34" s="14" t="n">
        <f aca="false">SUMIF($C$5:$C$64,$G34,$E$5:$E$64)+SUMIF($G$5:$G$12,$G34,$I$5:$I$12)+SUMIF($G$16:$G$23,$G34,$I$16:$I$23)</f>
        <v>0</v>
      </c>
      <c r="K34" s="31" t="s">
        <v>68</v>
      </c>
      <c r="L34" s="31"/>
      <c r="M34" s="31"/>
      <c r="N34" s="14" t="n">
        <f aca="false">IF(COUNT($E$5:$E$64)=0,0,MAX($E$5:$E$64))</f>
        <v>0</v>
      </c>
    </row>
    <row r="35" customFormat="false" ht="15" hidden="false" customHeight="true" outlineLevel="0" collapsed="false">
      <c r="A35" s="10"/>
      <c r="B35" s="11"/>
      <c r="C35" s="10"/>
      <c r="D35" s="10"/>
      <c r="E35" s="14"/>
      <c r="G35" s="34" t="s">
        <v>69</v>
      </c>
      <c r="H35" s="34"/>
      <c r="I35" s="14" t="n">
        <f aca="false">SUMIF($C$5:$C$64,$G35,$E$5:$E$64)+SUMIF($G$5:$G$12,$G35,$I$5:$I$12)+SUMIF($G$16:$G$23,$G35,$I$16:$I$23)</f>
        <v>0</v>
      </c>
      <c r="K35" s="31" t="s">
        <v>70</v>
      </c>
      <c r="L35" s="31"/>
      <c r="M35" s="31"/>
      <c r="N35" s="33" t="str">
        <f aca="false">IF($E$3=0,"—",INDEX($A$5:$A$64,MATCH(MAX($E$5:$E$64),$E$5:$E$64,0)))</f>
        <v>—</v>
      </c>
    </row>
    <row r="36" customFormat="false" ht="15" hidden="false" customHeight="true" outlineLevel="0" collapsed="false">
      <c r="A36" s="10"/>
      <c r="B36" s="11"/>
      <c r="C36" s="10"/>
      <c r="D36" s="10"/>
      <c r="E36" s="14"/>
      <c r="G36" s="28" t="s">
        <v>56</v>
      </c>
      <c r="H36" s="28"/>
      <c r="I36" s="14" t="n">
        <f aca="false">SUMIF($C$5:$C$64,$G36,$E$5:$E$64)+SUMIF($G$5:$G$12,$G36,$I$5:$I$12)+SUMIF($G$16:$G$23,$G36,$I$16:$I$23)</f>
        <v>0</v>
      </c>
      <c r="K36" s="31" t="s">
        <v>71</v>
      </c>
      <c r="L36" s="31"/>
      <c r="M36" s="31"/>
      <c r="N36" s="33" t="str">
        <f aca="false">IF($E$3=0,"—",INDEX($K$5:$K$16,MATCH(MAX($M$5:$M$16),$M$5:$M$16,0)))</f>
        <v>—</v>
      </c>
    </row>
    <row r="37" customFormat="false" ht="15" hidden="false" customHeight="true" outlineLevel="0" collapsed="false">
      <c r="A37" s="10"/>
      <c r="B37" s="11"/>
      <c r="C37" s="10"/>
      <c r="D37" s="10"/>
      <c r="E37" s="14"/>
      <c r="G37" s="10" t="s">
        <v>72</v>
      </c>
      <c r="H37" s="10"/>
      <c r="I37" s="14"/>
      <c r="K37" s="31" t="s">
        <v>73</v>
      </c>
      <c r="L37" s="31"/>
      <c r="M37" s="31"/>
      <c r="N37" s="14" t="n">
        <f aca="false">IFERROR(AVERAGE($E$5:$E$64),0)</f>
        <v>0</v>
      </c>
    </row>
    <row r="38" customFormat="false" ht="15" hidden="false" customHeight="true" outlineLevel="0" collapsed="false">
      <c r="A38" s="10"/>
      <c r="B38" s="11"/>
      <c r="C38" s="10"/>
      <c r="D38" s="10"/>
      <c r="E38" s="14"/>
      <c r="G38" s="10" t="s">
        <v>74</v>
      </c>
      <c r="H38" s="10"/>
      <c r="I38" s="14"/>
      <c r="K38" s="31" t="s">
        <v>75</v>
      </c>
      <c r="L38" s="31"/>
      <c r="M38" s="31"/>
      <c r="N38" s="14" t="n">
        <f aca="false">IFERROR($E$3/DAY(EOMONTH(DATE(2026,12,1),0)),0)</f>
        <v>0</v>
      </c>
    </row>
    <row r="39" customFormat="false" ht="15" hidden="false" customHeight="true" outlineLevel="0" collapsed="false">
      <c r="A39" s="10"/>
      <c r="B39" s="11"/>
      <c r="C39" s="10"/>
      <c r="D39" s="10"/>
      <c r="E39" s="14"/>
      <c r="G39" s="29" t="s">
        <v>76</v>
      </c>
      <c r="H39" s="29"/>
      <c r="I39" s="9" t="n">
        <f aca="false">SUM(I31:I38)</f>
        <v>0</v>
      </c>
      <c r="K39" s="31" t="s">
        <v>77</v>
      </c>
      <c r="L39" s="31"/>
      <c r="M39" s="31"/>
      <c r="N39" s="16" t="n">
        <f aca="false">IFERROR($I$39/$I$28,0)</f>
        <v>0</v>
      </c>
    </row>
    <row r="40" customFormat="false" ht="15" hidden="false" customHeight="false" outlineLevel="0" collapsed="false">
      <c r="A40" s="10"/>
      <c r="B40" s="11"/>
      <c r="C40" s="10"/>
      <c r="D40" s="10"/>
      <c r="E40" s="14"/>
    </row>
    <row r="41" customFormat="false" ht="15" hidden="false" customHeight="true" outlineLevel="0" collapsed="false">
      <c r="A41" s="10"/>
      <c r="B41" s="11"/>
      <c r="C41" s="10"/>
      <c r="D41" s="10"/>
      <c r="E41" s="14"/>
      <c r="G41" s="6" t="s">
        <v>78</v>
      </c>
      <c r="H41" s="6"/>
      <c r="I41" s="6"/>
    </row>
    <row r="42" customFormat="false" ht="15" hidden="false" customHeight="true" outlineLevel="0" collapsed="false">
      <c r="A42" s="10"/>
      <c r="B42" s="11"/>
      <c r="C42" s="10"/>
      <c r="D42" s="10"/>
      <c r="E42" s="14"/>
      <c r="G42" s="10" t="s">
        <v>72</v>
      </c>
      <c r="H42" s="10"/>
      <c r="I42" s="14"/>
    </row>
    <row r="43" customFormat="false" ht="15" hidden="false" customHeight="true" outlineLevel="0" collapsed="false">
      <c r="A43" s="10"/>
      <c r="B43" s="11"/>
      <c r="C43" s="10"/>
      <c r="D43" s="10"/>
      <c r="E43" s="14"/>
      <c r="G43" s="10" t="s">
        <v>79</v>
      </c>
      <c r="H43" s="10"/>
      <c r="I43" s="14"/>
    </row>
    <row r="44" customFormat="false" ht="15" hidden="false" customHeight="true" outlineLevel="0" collapsed="false">
      <c r="A44" s="10"/>
      <c r="B44" s="11"/>
      <c r="C44" s="10"/>
      <c r="D44" s="10"/>
      <c r="E44" s="14"/>
      <c r="G44" s="29" t="s">
        <v>57</v>
      </c>
      <c r="H44" s="29"/>
      <c r="I44" s="9" t="n">
        <f aca="false">SUM(I42:I43)</f>
        <v>0</v>
      </c>
    </row>
    <row r="45" customFormat="false" ht="15" hidden="false" customHeight="false" outlineLevel="0" collapsed="false">
      <c r="A45" s="10"/>
      <c r="B45" s="11"/>
      <c r="C45" s="10"/>
      <c r="D45" s="10"/>
      <c r="E45" s="14"/>
    </row>
    <row r="46" customFormat="false" ht="15" hidden="false" customHeight="true" outlineLevel="0" collapsed="false">
      <c r="A46" s="10"/>
      <c r="B46" s="11"/>
      <c r="C46" s="10"/>
      <c r="D46" s="10"/>
      <c r="E46" s="14"/>
      <c r="G46" s="6" t="s">
        <v>80</v>
      </c>
      <c r="H46" s="6"/>
      <c r="I46" s="6"/>
    </row>
    <row r="47" customFormat="false" ht="31.5" hidden="false" customHeight="true" outlineLevel="0" collapsed="false">
      <c r="A47" s="10"/>
      <c r="B47" s="11"/>
      <c r="C47" s="10"/>
      <c r="D47" s="10"/>
      <c r="E47" s="14"/>
      <c r="G47" s="35" t="n">
        <f aca="false">I28-I39</f>
        <v>0</v>
      </c>
      <c r="H47" s="35"/>
      <c r="I47" s="35"/>
    </row>
    <row r="48" customFormat="false" ht="15" hidden="false" customHeight="false" outlineLevel="0" collapsed="false">
      <c r="A48" s="10"/>
      <c r="B48" s="11"/>
      <c r="C48" s="10"/>
      <c r="D48" s="10"/>
      <c r="E48" s="14"/>
    </row>
    <row r="49" customFormat="false" ht="15" hidden="false" customHeight="false" outlineLevel="0" collapsed="false">
      <c r="A49" s="10"/>
      <c r="B49" s="11"/>
      <c r="C49" s="10"/>
      <c r="D49" s="10"/>
      <c r="E49" s="14"/>
    </row>
    <row r="50" customFormat="false" ht="15" hidden="false" customHeight="false" outlineLevel="0" collapsed="false">
      <c r="A50" s="10"/>
      <c r="B50" s="11"/>
      <c r="C50" s="10"/>
      <c r="D50" s="10"/>
      <c r="E50" s="14"/>
    </row>
    <row r="51" customFormat="false" ht="15" hidden="false" customHeight="false" outlineLevel="0" collapsed="false">
      <c r="A51" s="10"/>
      <c r="B51" s="11"/>
      <c r="C51" s="10"/>
      <c r="D51" s="10"/>
      <c r="E51" s="14"/>
    </row>
    <row r="52" customFormat="false" ht="15" hidden="false" customHeight="false" outlineLevel="0" collapsed="false">
      <c r="A52" s="10"/>
      <c r="B52" s="11"/>
      <c r="C52" s="10"/>
      <c r="D52" s="10"/>
      <c r="E52" s="14"/>
    </row>
    <row r="53" customFormat="false" ht="15" hidden="false" customHeight="false" outlineLevel="0" collapsed="false">
      <c r="A53" s="10"/>
      <c r="B53" s="11"/>
      <c r="C53" s="10"/>
      <c r="D53" s="10"/>
      <c r="E53" s="14"/>
    </row>
    <row r="54" customFormat="false" ht="15" hidden="false" customHeight="false" outlineLevel="0" collapsed="false">
      <c r="A54" s="10"/>
      <c r="B54" s="11"/>
      <c r="C54" s="10"/>
      <c r="D54" s="10"/>
      <c r="E54" s="14"/>
    </row>
    <row r="55" customFormat="false" ht="15" hidden="false" customHeight="false" outlineLevel="0" collapsed="false">
      <c r="A55" s="10"/>
      <c r="B55" s="11"/>
      <c r="C55" s="10"/>
      <c r="D55" s="10"/>
      <c r="E55" s="14"/>
    </row>
    <row r="56" customFormat="false" ht="15" hidden="false" customHeight="false" outlineLevel="0" collapsed="false">
      <c r="A56" s="10"/>
      <c r="B56" s="11"/>
      <c r="C56" s="10"/>
      <c r="D56" s="10"/>
      <c r="E56" s="14"/>
    </row>
    <row r="57" customFormat="false" ht="15" hidden="false" customHeight="false" outlineLevel="0" collapsed="false">
      <c r="A57" s="10"/>
      <c r="B57" s="11"/>
      <c r="C57" s="10"/>
      <c r="D57" s="10"/>
      <c r="E57" s="14"/>
    </row>
    <row r="58" customFormat="false" ht="15" hidden="false" customHeight="false" outlineLevel="0" collapsed="false">
      <c r="A58" s="10"/>
      <c r="B58" s="11"/>
      <c r="C58" s="10"/>
      <c r="D58" s="10"/>
      <c r="E58" s="14"/>
    </row>
    <row r="59" customFormat="false" ht="15" hidden="false" customHeight="false" outlineLevel="0" collapsed="false">
      <c r="A59" s="10"/>
      <c r="B59" s="11"/>
      <c r="C59" s="10"/>
      <c r="D59" s="10"/>
      <c r="E59" s="14"/>
    </row>
    <row r="60" customFormat="false" ht="15" hidden="false" customHeight="false" outlineLevel="0" collapsed="false">
      <c r="A60" s="10"/>
      <c r="B60" s="11"/>
      <c r="C60" s="10"/>
      <c r="D60" s="10"/>
      <c r="E60" s="14"/>
    </row>
    <row r="61" customFormat="false" ht="15" hidden="false" customHeight="false" outlineLevel="0" collapsed="false">
      <c r="A61" s="10"/>
      <c r="B61" s="11"/>
      <c r="C61" s="10"/>
      <c r="D61" s="10"/>
      <c r="E61" s="14"/>
    </row>
    <row r="62" customFormat="false" ht="15" hidden="false" customHeight="false" outlineLevel="0" collapsed="false">
      <c r="A62" s="10"/>
      <c r="B62" s="11"/>
      <c r="C62" s="10"/>
      <c r="D62" s="10"/>
      <c r="E62" s="14"/>
    </row>
    <row r="63" customFormat="false" ht="15" hidden="false" customHeight="false" outlineLevel="0" collapsed="false">
      <c r="A63" s="10"/>
      <c r="B63" s="11"/>
      <c r="C63" s="10"/>
      <c r="D63" s="10"/>
      <c r="E63" s="14"/>
    </row>
    <row r="64" customFormat="false" ht="15" hidden="false" customHeight="false" outlineLevel="0" collapsed="false">
      <c r="A64" s="10"/>
      <c r="B64" s="11"/>
      <c r="C64" s="10"/>
      <c r="D64" s="10"/>
      <c r="E64" s="14"/>
    </row>
  </sheetData>
  <mergeCells count="34">
    <mergeCell ref="A1:N1"/>
    <mergeCell ref="A3:C3"/>
    <mergeCell ref="G3:H3"/>
    <mergeCell ref="K3:N3"/>
    <mergeCell ref="G14:H14"/>
    <mergeCell ref="K19:N19"/>
    <mergeCell ref="G25:I25"/>
    <mergeCell ref="G26:H26"/>
    <mergeCell ref="G27:H27"/>
    <mergeCell ref="G28:H28"/>
    <mergeCell ref="G30:I30"/>
    <mergeCell ref="G31:H31"/>
    <mergeCell ref="G32:H32"/>
    <mergeCell ref="K32:N32"/>
    <mergeCell ref="G33:H33"/>
    <mergeCell ref="K33:M33"/>
    <mergeCell ref="G34:H34"/>
    <mergeCell ref="K34:M34"/>
    <mergeCell ref="G35:H35"/>
    <mergeCell ref="K35:M35"/>
    <mergeCell ref="G36:H36"/>
    <mergeCell ref="K36:M36"/>
    <mergeCell ref="G37:H37"/>
    <mergeCell ref="K37:M37"/>
    <mergeCell ref="G38:H38"/>
    <mergeCell ref="K38:M38"/>
    <mergeCell ref="G39:H39"/>
    <mergeCell ref="K39:M39"/>
    <mergeCell ref="G41:I41"/>
    <mergeCell ref="G42:H42"/>
    <mergeCell ref="G43:H43"/>
    <mergeCell ref="G44:H44"/>
    <mergeCell ref="G46:I46"/>
    <mergeCell ref="G47:I47"/>
  </mergeCells>
  <conditionalFormatting sqref="C5:C64">
    <cfRule type="containsText" priority="2" operator="containsText" aboveAverage="0" equalAverage="0" bottom="0" percent="0" rank="0" text="Débito" dxfId="0">
      <formula>NOT(ISERROR(SEARCH("Débito",C5)))</formula>
    </cfRule>
    <cfRule type="containsText" priority="3" operator="containsText" aboveAverage="0" equalAverage="0" bottom="0" percent="0" rank="0" text="Crédito" dxfId="1">
      <formula>NOT(ISERROR(SEARCH("Crédito",C5)))</formula>
    </cfRule>
    <cfRule type="containsText" priority="4" operator="containsText" aboveAverage="0" equalAverage="0" bottom="0" percent="0" rank="0" text="Pix" dxfId="2">
      <formula>NOT(ISERROR(SEARCH("Pix",C5)))</formula>
    </cfRule>
    <cfRule type="containsText" priority="5" operator="containsText" aboveAverage="0" equalAverage="0" bottom="0" percent="0" rank="0" text="Dinheiro" dxfId="3">
      <formula>NOT(ISERROR(SEARCH("Dinheiro",C5)))</formula>
    </cfRule>
    <cfRule type="containsText" priority="6" operator="containsText" aboveAverage="0" equalAverage="0" bottom="0" percent="0" rank="0" text="Voucher" dxfId="4">
      <formula>NOT(ISERROR(SEARCH("Voucher",C5)))</formula>
    </cfRule>
    <cfRule type="containsText" priority="7" operator="containsText" aboveAverage="0" equalAverage="0" bottom="0" percent="0" rank="0" text="Outros" dxfId="5">
      <formula>NOT(ISERROR(SEARCH("Outros",C5)))</formula>
    </cfRule>
  </conditionalFormatting>
  <conditionalFormatting sqref="D5:D64">
    <cfRule type="containsText" priority="8" operator="containsText" aboveAverage="0" equalAverage="0" bottom="0" percent="0" rank="0" text="Mercado" dxfId="6">
      <formula>NOT(ISERROR(SEARCH("Mercado",D5)))</formula>
    </cfRule>
    <cfRule type="containsText" priority="9" operator="containsText" aboveAverage="0" equalAverage="0" bottom="0" percent="0" rank="0" text="Alimentação" dxfId="7">
      <formula>NOT(ISERROR(SEARCH("Alimentação",D5)))</formula>
    </cfRule>
    <cfRule type="containsText" priority="10" operator="containsText" aboveAverage="0" equalAverage="0" bottom="0" percent="0" rank="0" text="Farmácia" dxfId="8">
      <formula>NOT(ISERROR(SEARCH("Farmácia",D5)))</formula>
    </cfRule>
    <cfRule type="containsText" priority="11" operator="containsText" aboveAverage="0" equalAverage="0" bottom="0" percent="0" rank="0" text="Combustível" dxfId="9">
      <formula>NOT(ISERROR(SEARCH("Combustível",D5)))</formula>
    </cfRule>
    <cfRule type="containsText" priority="12" operator="containsText" aboveAverage="0" equalAverage="0" bottom="0" percent="0" rank="0" text="Transporte" dxfId="10">
      <formula>NOT(ISERROR(SEARCH("Transporte",D5)))</formula>
    </cfRule>
    <cfRule type="containsText" priority="13" operator="containsText" aboveAverage="0" equalAverage="0" bottom="0" percent="0" rank="0" text="Vestuário" dxfId="1">
      <formula>NOT(ISERROR(SEARCH("Vestuário",D5)))</formula>
    </cfRule>
    <cfRule type="containsText" priority="14" operator="containsText" aboveAverage="0" equalAverage="0" bottom="0" percent="0" rank="0" text="Eletrônicos" dxfId="11">
      <formula>NOT(ISERROR(SEARCH("Eletrônicos",D5)))</formula>
    </cfRule>
    <cfRule type="containsText" priority="15" operator="containsText" aboveAverage="0" equalAverage="0" bottom="0" percent="0" rank="0" text="Casa" dxfId="12">
      <formula>NOT(ISERROR(SEARCH("Casa",D5)))</formula>
    </cfRule>
    <cfRule type="containsText" priority="16" operator="containsText" aboveAverage="0" equalAverage="0" bottom="0" percent="0" rank="0" text="Saúde" dxfId="13">
      <formula>NOT(ISERROR(SEARCH("Saúde",D5)))</formula>
    </cfRule>
    <cfRule type="containsText" priority="17" operator="containsText" aboveAverage="0" equalAverage="0" bottom="0" percent="0" rank="0" text="Lazer" dxfId="14">
      <formula>NOT(ISERROR(SEARCH("Lazer",D5)))</formula>
    </cfRule>
    <cfRule type="containsText" priority="18" operator="containsText" aboveAverage="0" equalAverage="0" bottom="0" percent="0" rank="0" text="Serviços" dxfId="15">
      <formula>NOT(ISERROR(SEARCH("Serviços",D5)))</formula>
    </cfRule>
    <cfRule type="containsText" priority="19" operator="containsText" aboveAverage="0" equalAverage="0" bottom="0" percent="0" rank="0" text="Outros" dxfId="5">
      <formula>NOT(ISERROR(SEARCH("Outros",D5)))</formula>
    </cfRule>
  </conditionalFormatting>
  <dataValidations count="3">
    <dataValidation allowBlank="true" errorStyle="stop" operator="between" showDropDown="false" showErrorMessage="false" showInputMessage="false" sqref="D5:D24 H5:H12 H16:H23 D25:D64" type="list">
      <formula1>"Alimentação,Mercado,Farmácia,Combustível,Transporte,Vestuário,Eletrônicos,Casa,Saúde,Lazer,Serviços,Outros"</formula1>
      <formula2>0</formula2>
    </dataValidation>
    <dataValidation allowBlank="true" errorStyle="stop" operator="between" showDropDown="false" showErrorMessage="false" showInputMessage="false" sqref="C5:C24 G5:G12 G16:G23 C25:C64" type="list">
      <formula1>"Débito,Crédito,Pix,Dinheiro,Voucher,Outros"</formula1>
      <formula2>0</formula2>
    </dataValidation>
    <dataValidation allowBlank="true" errorStyle="stop" operator="between" showDropDown="false" showErrorMessage="false" showInputMessage="false" sqref="N21:N3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117"/>
    <pageSetUpPr fitToPage="false"/>
  </sheetPr>
  <dimension ref="A1:N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4" min="2" style="0" width="12"/>
  </cols>
  <sheetData>
    <row r="1" customFormat="false" ht="33.75" hidden="false" customHeight="true" outlineLevel="0" collapsed="false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true" outlineLevel="0" collapsed="false">
      <c r="A3" s="6" t="s">
        <v>93</v>
      </c>
      <c r="B3" s="6"/>
      <c r="C3" s="6"/>
      <c r="D3" s="6"/>
    </row>
    <row r="4" customFormat="false" ht="15" hidden="false" customHeight="false" outlineLevel="0" collapsed="false">
      <c r="A4" s="6" t="s">
        <v>94</v>
      </c>
      <c r="B4" s="6" t="s">
        <v>95</v>
      </c>
      <c r="C4" s="6" t="s">
        <v>96</v>
      </c>
      <c r="D4" s="6" t="s">
        <v>97</v>
      </c>
    </row>
    <row r="5" customFormat="false" ht="15" hidden="false" customHeight="false" outlineLevel="0" collapsed="false">
      <c r="A5" s="10" t="s">
        <v>98</v>
      </c>
      <c r="B5" s="14" t="n">
        <f aca="false">Janeiro!$I$28</f>
        <v>0</v>
      </c>
      <c r="C5" s="14" t="n">
        <f aca="false">Janeiro!$I$39</f>
        <v>649.6</v>
      </c>
      <c r="D5" s="14" t="n">
        <f aca="false">Janeiro!$I$28-Janeiro!$I$39</f>
        <v>-649.6</v>
      </c>
    </row>
    <row r="6" customFormat="false" ht="15" hidden="false" customHeight="false" outlineLevel="0" collapsed="false">
      <c r="A6" s="10" t="s">
        <v>99</v>
      </c>
      <c r="B6" s="14" t="n">
        <f aca="false">Fevereiro!$I$28</f>
        <v>0</v>
      </c>
      <c r="C6" s="14" t="n">
        <f aca="false">Fevereiro!$I$39</f>
        <v>0</v>
      </c>
      <c r="D6" s="14" t="n">
        <f aca="false">Fevereiro!$I$28-Fevereiro!$I$39</f>
        <v>0</v>
      </c>
    </row>
    <row r="7" customFormat="false" ht="15" hidden="false" customHeight="false" outlineLevel="0" collapsed="false">
      <c r="A7" s="10" t="s">
        <v>100</v>
      </c>
      <c r="B7" s="14" t="n">
        <f aca="false">Março!$I$28</f>
        <v>0</v>
      </c>
      <c r="C7" s="14" t="n">
        <f aca="false">Março!$I$39</f>
        <v>0</v>
      </c>
      <c r="D7" s="14" t="n">
        <f aca="false">Março!$I$28-Março!$I$39</f>
        <v>0</v>
      </c>
    </row>
    <row r="8" customFormat="false" ht="15" hidden="false" customHeight="false" outlineLevel="0" collapsed="false">
      <c r="A8" s="10" t="s">
        <v>101</v>
      </c>
      <c r="B8" s="14" t="n">
        <f aca="false">Abril!$I$28</f>
        <v>0</v>
      </c>
      <c r="C8" s="14" t="n">
        <f aca="false">Abril!$I$39</f>
        <v>0</v>
      </c>
      <c r="D8" s="14" t="n">
        <f aca="false">Abril!$I$28-Abril!$I$39</f>
        <v>0</v>
      </c>
    </row>
    <row r="9" customFormat="false" ht="15" hidden="false" customHeight="false" outlineLevel="0" collapsed="false">
      <c r="A9" s="10" t="s">
        <v>102</v>
      </c>
      <c r="B9" s="14" t="n">
        <f aca="false">Maio!$I$28</f>
        <v>0</v>
      </c>
      <c r="C9" s="14" t="n">
        <f aca="false">Maio!$I$39</f>
        <v>0</v>
      </c>
      <c r="D9" s="14" t="n">
        <f aca="false">Maio!$I$28-Maio!$I$39</f>
        <v>0</v>
      </c>
    </row>
    <row r="10" customFormat="false" ht="15" hidden="false" customHeight="false" outlineLevel="0" collapsed="false">
      <c r="A10" s="10" t="s">
        <v>103</v>
      </c>
      <c r="B10" s="14" t="n">
        <f aca="false">Junho!$I$28</f>
        <v>0</v>
      </c>
      <c r="C10" s="14" t="n">
        <f aca="false">Junho!$I$39</f>
        <v>0</v>
      </c>
      <c r="D10" s="14" t="n">
        <f aca="false">Junho!$I$28-Junho!$I$39</f>
        <v>0</v>
      </c>
    </row>
    <row r="11" customFormat="false" ht="15" hidden="false" customHeight="false" outlineLevel="0" collapsed="false">
      <c r="A11" s="10" t="s">
        <v>104</v>
      </c>
      <c r="B11" s="14" t="n">
        <f aca="false">Julho!$I$28</f>
        <v>0</v>
      </c>
      <c r="C11" s="14" t="n">
        <f aca="false">Julho!$I$39</f>
        <v>0</v>
      </c>
      <c r="D11" s="14" t="n">
        <f aca="false">Julho!$I$28-Julho!$I$39</f>
        <v>0</v>
      </c>
    </row>
    <row r="12" customFormat="false" ht="15" hidden="false" customHeight="false" outlineLevel="0" collapsed="false">
      <c r="A12" s="10" t="s">
        <v>105</v>
      </c>
      <c r="B12" s="14" t="n">
        <f aca="false">Agosto!$I$28</f>
        <v>0</v>
      </c>
      <c r="C12" s="14" t="n">
        <f aca="false">Agosto!$I$39</f>
        <v>0</v>
      </c>
      <c r="D12" s="14" t="n">
        <f aca="false">Agosto!$I$28-Agosto!$I$39</f>
        <v>0</v>
      </c>
    </row>
    <row r="13" customFormat="false" ht="15" hidden="false" customHeight="false" outlineLevel="0" collapsed="false">
      <c r="A13" s="10" t="s">
        <v>106</v>
      </c>
      <c r="B13" s="14" t="n">
        <f aca="false">Setembro!$I$28</f>
        <v>0</v>
      </c>
      <c r="C13" s="14" t="n">
        <f aca="false">Setembro!$I$39</f>
        <v>0</v>
      </c>
      <c r="D13" s="14" t="n">
        <f aca="false">Setembro!$I$28-Setembro!$I$39</f>
        <v>0</v>
      </c>
    </row>
    <row r="14" customFormat="false" ht="15" hidden="false" customHeight="false" outlineLevel="0" collapsed="false">
      <c r="A14" s="10" t="s">
        <v>107</v>
      </c>
      <c r="B14" s="14" t="n">
        <f aca="false">Outubro!$I$28</f>
        <v>0</v>
      </c>
      <c r="C14" s="14" t="n">
        <f aca="false">Outubro!$I$39</f>
        <v>0</v>
      </c>
      <c r="D14" s="14" t="n">
        <f aca="false">Outubro!$I$28-Outubro!$I$39</f>
        <v>0</v>
      </c>
    </row>
    <row r="15" customFormat="false" ht="15" hidden="false" customHeight="false" outlineLevel="0" collapsed="false">
      <c r="A15" s="10" t="s">
        <v>108</v>
      </c>
      <c r="B15" s="14" t="n">
        <f aca="false">Novembro!$I$28</f>
        <v>0</v>
      </c>
      <c r="C15" s="14" t="n">
        <f aca="false">Novembro!$I$39</f>
        <v>0</v>
      </c>
      <c r="D15" s="14" t="n">
        <f aca="false">Novembro!$I$28-Novembro!$I$39</f>
        <v>0</v>
      </c>
    </row>
    <row r="16" customFormat="false" ht="15" hidden="false" customHeight="false" outlineLevel="0" collapsed="false">
      <c r="A16" s="10" t="s">
        <v>109</v>
      </c>
      <c r="B16" s="14" t="n">
        <f aca="false">Dezembro!$I$28</f>
        <v>0</v>
      </c>
      <c r="C16" s="14" t="n">
        <f aca="false">Dezembro!$I$39</f>
        <v>0</v>
      </c>
      <c r="D16" s="14" t="n">
        <f aca="false">Dezembro!$I$28-Dezembro!$I$39</f>
        <v>0</v>
      </c>
    </row>
    <row r="17" customFormat="false" ht="15" hidden="false" customHeight="false" outlineLevel="0" collapsed="false">
      <c r="A17" s="29" t="s">
        <v>110</v>
      </c>
      <c r="B17" s="9" t="n">
        <f aca="false">SUM(B5:B16)</f>
        <v>0</v>
      </c>
      <c r="C17" s="9" t="n">
        <f aca="false">SUM(C5:C16)</f>
        <v>649.6</v>
      </c>
      <c r="D17" s="9" t="n">
        <f aca="false">SUM(D5:D16)</f>
        <v>-649.6</v>
      </c>
    </row>
    <row r="20" customFormat="false" ht="15" hidden="false" customHeight="true" outlineLevel="0" collapsed="false">
      <c r="A20" s="6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customFormat="false" ht="15" hidden="false" customHeight="false" outlineLevel="0" collapsed="false">
      <c r="A21" s="6" t="s">
        <v>30</v>
      </c>
      <c r="B21" s="6" t="s">
        <v>112</v>
      </c>
      <c r="C21" s="6" t="s">
        <v>113</v>
      </c>
      <c r="D21" s="6" t="s">
        <v>114</v>
      </c>
      <c r="E21" s="6" t="s">
        <v>115</v>
      </c>
      <c r="F21" s="6" t="s">
        <v>116</v>
      </c>
      <c r="G21" s="6" t="s">
        <v>117</v>
      </c>
      <c r="H21" s="6" t="s">
        <v>118</v>
      </c>
      <c r="I21" s="6" t="s">
        <v>119</v>
      </c>
      <c r="J21" s="6" t="s">
        <v>120</v>
      </c>
      <c r="K21" s="6" t="s">
        <v>121</v>
      </c>
      <c r="L21" s="6" t="s">
        <v>122</v>
      </c>
      <c r="M21" s="6" t="s">
        <v>123</v>
      </c>
      <c r="N21" s="6" t="s">
        <v>57</v>
      </c>
    </row>
    <row r="22" customFormat="false" ht="15" hidden="false" customHeight="false" outlineLevel="0" collapsed="false">
      <c r="A22" s="15" t="s">
        <v>38</v>
      </c>
      <c r="B22" s="14" t="n">
        <f aca="false">Janeiro!$M$5</f>
        <v>56.9</v>
      </c>
      <c r="C22" s="14" t="n">
        <f aca="false">Fevereiro!$M$5</f>
        <v>0</v>
      </c>
      <c r="D22" s="14" t="n">
        <f aca="false">Março!$M$5</f>
        <v>0</v>
      </c>
      <c r="E22" s="14" t="n">
        <f aca="false">Abril!$M$5</f>
        <v>0</v>
      </c>
      <c r="F22" s="14" t="n">
        <f aca="false">Maio!$M$5</f>
        <v>0</v>
      </c>
      <c r="G22" s="14" t="n">
        <f aca="false">Junho!$M$5</f>
        <v>0</v>
      </c>
      <c r="H22" s="14" t="n">
        <f aca="false">Julho!$M$5</f>
        <v>0</v>
      </c>
      <c r="I22" s="14" t="n">
        <f aca="false">Agosto!$M$5</f>
        <v>0</v>
      </c>
      <c r="J22" s="14" t="n">
        <f aca="false">Setembro!$M$5</f>
        <v>0</v>
      </c>
      <c r="K22" s="14" t="n">
        <f aca="false">Outubro!$M$5</f>
        <v>0</v>
      </c>
      <c r="L22" s="14" t="n">
        <f aca="false">Novembro!$M$5</f>
        <v>0</v>
      </c>
      <c r="M22" s="14" t="n">
        <f aca="false">Dezembro!$M$5</f>
        <v>0</v>
      </c>
      <c r="N22" s="14" t="n">
        <f aca="false">SUM(B22:M22)</f>
        <v>56.9</v>
      </c>
    </row>
    <row r="23" customFormat="false" ht="15" hidden="false" customHeight="false" outlineLevel="0" collapsed="false">
      <c r="A23" s="13" t="s">
        <v>37</v>
      </c>
      <c r="B23" s="14" t="n">
        <f aca="false">Janeiro!$M$6</f>
        <v>312.45</v>
      </c>
      <c r="C23" s="14" t="n">
        <f aca="false">Fevereiro!$M$6</f>
        <v>0</v>
      </c>
      <c r="D23" s="14" t="n">
        <f aca="false">Março!$M$6</f>
        <v>0</v>
      </c>
      <c r="E23" s="14" t="n">
        <f aca="false">Abril!$M$6</f>
        <v>0</v>
      </c>
      <c r="F23" s="14" t="n">
        <f aca="false">Maio!$M$6</f>
        <v>0</v>
      </c>
      <c r="G23" s="14" t="n">
        <f aca="false">Junho!$M$6</f>
        <v>0</v>
      </c>
      <c r="H23" s="14" t="n">
        <f aca="false">Julho!$M$6</f>
        <v>0</v>
      </c>
      <c r="I23" s="14" t="n">
        <f aca="false">Agosto!$M$6</f>
        <v>0</v>
      </c>
      <c r="J23" s="14" t="n">
        <f aca="false">Setembro!$M$6</f>
        <v>0</v>
      </c>
      <c r="K23" s="14" t="n">
        <f aca="false">Outubro!$M$6</f>
        <v>0</v>
      </c>
      <c r="L23" s="14" t="n">
        <f aca="false">Novembro!$M$6</f>
        <v>0</v>
      </c>
      <c r="M23" s="14" t="n">
        <f aca="false">Dezembro!$M$6</f>
        <v>0</v>
      </c>
      <c r="N23" s="14" t="n">
        <f aca="false">SUM(B23:M23)</f>
        <v>312.45</v>
      </c>
    </row>
    <row r="24" customFormat="false" ht="15" hidden="false" customHeight="false" outlineLevel="0" collapsed="false">
      <c r="A24" s="20" t="s">
        <v>44</v>
      </c>
      <c r="B24" s="14" t="n">
        <f aca="false">Janeiro!$M$7</f>
        <v>74.2</v>
      </c>
      <c r="C24" s="14" t="n">
        <f aca="false">Fevereiro!$M$7</f>
        <v>0</v>
      </c>
      <c r="D24" s="14" t="n">
        <f aca="false">Março!$M$7</f>
        <v>0</v>
      </c>
      <c r="E24" s="14" t="n">
        <f aca="false">Abril!$M$7</f>
        <v>0</v>
      </c>
      <c r="F24" s="14" t="n">
        <f aca="false">Maio!$M$7</f>
        <v>0</v>
      </c>
      <c r="G24" s="14" t="n">
        <f aca="false">Junho!$M$7</f>
        <v>0</v>
      </c>
      <c r="H24" s="14" t="n">
        <f aca="false">Julho!$M$7</f>
        <v>0</v>
      </c>
      <c r="I24" s="14" t="n">
        <f aca="false">Agosto!$M$7</f>
        <v>0</v>
      </c>
      <c r="J24" s="14" t="n">
        <f aca="false">Setembro!$M$7</f>
        <v>0</v>
      </c>
      <c r="K24" s="14" t="n">
        <f aca="false">Outubro!$M$7</f>
        <v>0</v>
      </c>
      <c r="L24" s="14" t="n">
        <f aca="false">Novembro!$M$7</f>
        <v>0</v>
      </c>
      <c r="M24" s="14" t="n">
        <f aca="false">Dezembro!$M$7</f>
        <v>0</v>
      </c>
      <c r="N24" s="14" t="n">
        <f aca="false">SUM(B24:M24)</f>
        <v>74.2</v>
      </c>
    </row>
    <row r="25" customFormat="false" ht="15" hidden="false" customHeight="false" outlineLevel="0" collapsed="false">
      <c r="A25" s="22" t="s">
        <v>47</v>
      </c>
      <c r="B25" s="14" t="n">
        <f aca="false">Janeiro!$M$8</f>
        <v>0</v>
      </c>
      <c r="C25" s="14" t="n">
        <f aca="false">Fevereiro!$M$8</f>
        <v>0</v>
      </c>
      <c r="D25" s="14" t="n">
        <f aca="false">Março!$M$8</f>
        <v>0</v>
      </c>
      <c r="E25" s="14" t="n">
        <f aca="false">Abril!$M$8</f>
        <v>0</v>
      </c>
      <c r="F25" s="14" t="n">
        <f aca="false">Maio!$M$8</f>
        <v>0</v>
      </c>
      <c r="G25" s="14" t="n">
        <f aca="false">Junho!$M$8</f>
        <v>0</v>
      </c>
      <c r="H25" s="14" t="n">
        <f aca="false">Julho!$M$8</f>
        <v>0</v>
      </c>
      <c r="I25" s="14" t="n">
        <f aca="false">Agosto!$M$8</f>
        <v>0</v>
      </c>
      <c r="J25" s="14" t="n">
        <f aca="false">Setembro!$M$8</f>
        <v>0</v>
      </c>
      <c r="K25" s="14" t="n">
        <f aca="false">Outubro!$M$8</f>
        <v>0</v>
      </c>
      <c r="L25" s="14" t="n">
        <f aca="false">Novembro!$M$8</f>
        <v>0</v>
      </c>
      <c r="M25" s="14" t="n">
        <f aca="false">Dezembro!$M$8</f>
        <v>0</v>
      </c>
      <c r="N25" s="14" t="n">
        <f aca="false">SUM(B25:M25)</f>
        <v>0</v>
      </c>
    </row>
    <row r="26" customFormat="false" ht="15" hidden="false" customHeight="false" outlineLevel="0" collapsed="false">
      <c r="A26" s="19" t="s">
        <v>43</v>
      </c>
      <c r="B26" s="14" t="n">
        <f aca="false">Janeiro!$M$9</f>
        <v>18.75</v>
      </c>
      <c r="C26" s="14" t="n">
        <f aca="false">Fevereiro!$M$9</f>
        <v>0</v>
      </c>
      <c r="D26" s="14" t="n">
        <f aca="false">Março!$M$9</f>
        <v>0</v>
      </c>
      <c r="E26" s="14" t="n">
        <f aca="false">Abril!$M$9</f>
        <v>0</v>
      </c>
      <c r="F26" s="14" t="n">
        <f aca="false">Maio!$M$9</f>
        <v>0</v>
      </c>
      <c r="G26" s="14" t="n">
        <f aca="false">Junho!$M$9</f>
        <v>0</v>
      </c>
      <c r="H26" s="14" t="n">
        <f aca="false">Julho!$M$9</f>
        <v>0</v>
      </c>
      <c r="I26" s="14" t="n">
        <f aca="false">Agosto!$M$9</f>
        <v>0</v>
      </c>
      <c r="J26" s="14" t="n">
        <f aca="false">Setembro!$M$9</f>
        <v>0</v>
      </c>
      <c r="K26" s="14" t="n">
        <f aca="false">Outubro!$M$9</f>
        <v>0</v>
      </c>
      <c r="L26" s="14" t="n">
        <f aca="false">Novembro!$M$9</f>
        <v>0</v>
      </c>
      <c r="M26" s="14" t="n">
        <f aca="false">Dezembro!$M$9</f>
        <v>0</v>
      </c>
      <c r="N26" s="14" t="n">
        <f aca="false">SUM(B26:M26)</f>
        <v>18.75</v>
      </c>
    </row>
    <row r="27" customFormat="false" ht="15" hidden="false" customHeight="false" outlineLevel="0" collapsed="false">
      <c r="A27" s="17" t="s">
        <v>50</v>
      </c>
      <c r="B27" s="14" t="n">
        <f aca="false">Janeiro!$M$10</f>
        <v>0</v>
      </c>
      <c r="C27" s="14" t="n">
        <f aca="false">Fevereiro!$M$10</f>
        <v>0</v>
      </c>
      <c r="D27" s="14" t="n">
        <f aca="false">Março!$M$10</f>
        <v>0</v>
      </c>
      <c r="E27" s="14" t="n">
        <f aca="false">Abril!$M$10</f>
        <v>0</v>
      </c>
      <c r="F27" s="14" t="n">
        <f aca="false">Maio!$M$10</f>
        <v>0</v>
      </c>
      <c r="G27" s="14" t="n">
        <f aca="false">Junho!$M$10</f>
        <v>0</v>
      </c>
      <c r="H27" s="14" t="n">
        <f aca="false">Julho!$M$10</f>
        <v>0</v>
      </c>
      <c r="I27" s="14" t="n">
        <f aca="false">Agosto!$M$10</f>
        <v>0</v>
      </c>
      <c r="J27" s="14" t="n">
        <f aca="false">Setembro!$M$10</f>
        <v>0</v>
      </c>
      <c r="K27" s="14" t="n">
        <f aca="false">Outubro!$M$10</f>
        <v>0</v>
      </c>
      <c r="L27" s="14" t="n">
        <f aca="false">Novembro!$M$10</f>
        <v>0</v>
      </c>
      <c r="M27" s="14" t="n">
        <f aca="false">Dezembro!$M$10</f>
        <v>0</v>
      </c>
      <c r="N27" s="14" t="n">
        <f aca="false">SUM(B27:M27)</f>
        <v>0</v>
      </c>
    </row>
    <row r="28" customFormat="false" ht="15" hidden="false" customHeight="false" outlineLevel="0" collapsed="false">
      <c r="A28" s="24" t="s">
        <v>51</v>
      </c>
      <c r="B28" s="14" t="n">
        <f aca="false">Janeiro!$M$11</f>
        <v>0</v>
      </c>
      <c r="C28" s="14" t="n">
        <f aca="false">Fevereiro!$M$11</f>
        <v>0</v>
      </c>
      <c r="D28" s="14" t="n">
        <f aca="false">Março!$M$11</f>
        <v>0</v>
      </c>
      <c r="E28" s="14" t="n">
        <f aca="false">Abril!$M$11</f>
        <v>0</v>
      </c>
      <c r="F28" s="14" t="n">
        <f aca="false">Maio!$M$11</f>
        <v>0</v>
      </c>
      <c r="G28" s="14" t="n">
        <f aca="false">Junho!$M$11</f>
        <v>0</v>
      </c>
      <c r="H28" s="14" t="n">
        <f aca="false">Julho!$M$11</f>
        <v>0</v>
      </c>
      <c r="I28" s="14" t="n">
        <f aca="false">Agosto!$M$11</f>
        <v>0</v>
      </c>
      <c r="J28" s="14" t="n">
        <f aca="false">Setembro!$M$11</f>
        <v>0</v>
      </c>
      <c r="K28" s="14" t="n">
        <f aca="false">Outubro!$M$11</f>
        <v>0</v>
      </c>
      <c r="L28" s="14" t="n">
        <f aca="false">Novembro!$M$11</f>
        <v>0</v>
      </c>
      <c r="M28" s="14" t="n">
        <f aca="false">Dezembro!$M$11</f>
        <v>0</v>
      </c>
      <c r="N28" s="14" t="n">
        <f aca="false">SUM(B28:M28)</f>
        <v>0</v>
      </c>
    </row>
    <row r="29" customFormat="false" ht="15" hidden="false" customHeight="false" outlineLevel="0" collapsed="false">
      <c r="A29" s="21" t="s">
        <v>46</v>
      </c>
      <c r="B29" s="14" t="n">
        <f aca="false">Janeiro!$M$12</f>
        <v>187.3</v>
      </c>
      <c r="C29" s="14" t="n">
        <f aca="false">Fevereiro!$M$12</f>
        <v>0</v>
      </c>
      <c r="D29" s="14" t="n">
        <f aca="false">Março!$M$12</f>
        <v>0</v>
      </c>
      <c r="E29" s="14" t="n">
        <f aca="false">Abril!$M$12</f>
        <v>0</v>
      </c>
      <c r="F29" s="14" t="n">
        <f aca="false">Maio!$M$12</f>
        <v>0</v>
      </c>
      <c r="G29" s="14" t="n">
        <f aca="false">Junho!$M$12</f>
        <v>0</v>
      </c>
      <c r="H29" s="14" t="n">
        <f aca="false">Julho!$M$12</f>
        <v>0</v>
      </c>
      <c r="I29" s="14" t="n">
        <f aca="false">Agosto!$M$12</f>
        <v>0</v>
      </c>
      <c r="J29" s="14" t="n">
        <f aca="false">Setembro!$M$12</f>
        <v>0</v>
      </c>
      <c r="K29" s="14" t="n">
        <f aca="false">Outubro!$M$12</f>
        <v>0</v>
      </c>
      <c r="L29" s="14" t="n">
        <f aca="false">Novembro!$M$12</f>
        <v>0</v>
      </c>
      <c r="M29" s="14" t="n">
        <f aca="false">Dezembro!$M$12</f>
        <v>0</v>
      </c>
      <c r="N29" s="14" t="n">
        <f aca="false">SUM(B29:M29)</f>
        <v>187.3</v>
      </c>
    </row>
    <row r="30" customFormat="false" ht="15" hidden="false" customHeight="false" outlineLevel="0" collapsed="false">
      <c r="A30" s="25" t="s">
        <v>52</v>
      </c>
      <c r="B30" s="14" t="n">
        <f aca="false">Janeiro!$M$13</f>
        <v>0</v>
      </c>
      <c r="C30" s="14" t="n">
        <f aca="false">Fevereiro!$M$13</f>
        <v>0</v>
      </c>
      <c r="D30" s="14" t="n">
        <f aca="false">Março!$M$13</f>
        <v>0</v>
      </c>
      <c r="E30" s="14" t="n">
        <f aca="false">Abril!$M$13</f>
        <v>0</v>
      </c>
      <c r="F30" s="14" t="n">
        <f aca="false">Maio!$M$13</f>
        <v>0</v>
      </c>
      <c r="G30" s="14" t="n">
        <f aca="false">Junho!$M$13</f>
        <v>0</v>
      </c>
      <c r="H30" s="14" t="n">
        <f aca="false">Julho!$M$13</f>
        <v>0</v>
      </c>
      <c r="I30" s="14" t="n">
        <f aca="false">Agosto!$M$13</f>
        <v>0</v>
      </c>
      <c r="J30" s="14" t="n">
        <f aca="false">Setembro!$M$13</f>
        <v>0</v>
      </c>
      <c r="K30" s="14" t="n">
        <f aca="false">Outubro!$M$13</f>
        <v>0</v>
      </c>
      <c r="L30" s="14" t="n">
        <f aca="false">Novembro!$M$13</f>
        <v>0</v>
      </c>
      <c r="M30" s="14" t="n">
        <f aca="false">Dezembro!$M$13</f>
        <v>0</v>
      </c>
      <c r="N30" s="14" t="n">
        <f aca="false">SUM(B30:M30)</f>
        <v>0</v>
      </c>
    </row>
    <row r="31" customFormat="false" ht="15" hidden="false" customHeight="false" outlineLevel="0" collapsed="false">
      <c r="A31" s="26" t="s">
        <v>54</v>
      </c>
      <c r="B31" s="14" t="n">
        <f aca="false">Janeiro!$M$14</f>
        <v>0</v>
      </c>
      <c r="C31" s="14" t="n">
        <f aca="false">Fevereiro!$M$14</f>
        <v>0</v>
      </c>
      <c r="D31" s="14" t="n">
        <f aca="false">Março!$M$14</f>
        <v>0</v>
      </c>
      <c r="E31" s="14" t="n">
        <f aca="false">Abril!$M$14</f>
        <v>0</v>
      </c>
      <c r="F31" s="14" t="n">
        <f aca="false">Maio!$M$14</f>
        <v>0</v>
      </c>
      <c r="G31" s="14" t="n">
        <f aca="false">Junho!$M$14</f>
        <v>0</v>
      </c>
      <c r="H31" s="14" t="n">
        <f aca="false">Julho!$M$14</f>
        <v>0</v>
      </c>
      <c r="I31" s="14" t="n">
        <f aca="false">Agosto!$M$14</f>
        <v>0</v>
      </c>
      <c r="J31" s="14" t="n">
        <f aca="false">Setembro!$M$14</f>
        <v>0</v>
      </c>
      <c r="K31" s="14" t="n">
        <f aca="false">Outubro!$M$14</f>
        <v>0</v>
      </c>
      <c r="L31" s="14" t="n">
        <f aca="false">Novembro!$M$14</f>
        <v>0</v>
      </c>
      <c r="M31" s="14" t="n">
        <f aca="false">Dezembro!$M$14</f>
        <v>0</v>
      </c>
      <c r="N31" s="14" t="n">
        <f aca="false">SUM(B31:M31)</f>
        <v>0</v>
      </c>
    </row>
    <row r="32" customFormat="false" ht="15" hidden="false" customHeight="false" outlineLevel="0" collapsed="false">
      <c r="A32" s="27" t="s">
        <v>55</v>
      </c>
      <c r="B32" s="14" t="n">
        <f aca="false">Janeiro!$M$15</f>
        <v>0</v>
      </c>
      <c r="C32" s="14" t="n">
        <f aca="false">Fevereiro!$M$15</f>
        <v>0</v>
      </c>
      <c r="D32" s="14" t="n">
        <f aca="false">Março!$M$15</f>
        <v>0</v>
      </c>
      <c r="E32" s="14" t="n">
        <f aca="false">Abril!$M$15</f>
        <v>0</v>
      </c>
      <c r="F32" s="14" t="n">
        <f aca="false">Maio!$M$15</f>
        <v>0</v>
      </c>
      <c r="G32" s="14" t="n">
        <f aca="false">Junho!$M$15</f>
        <v>0</v>
      </c>
      <c r="H32" s="14" t="n">
        <f aca="false">Julho!$M$15</f>
        <v>0</v>
      </c>
      <c r="I32" s="14" t="n">
        <f aca="false">Agosto!$M$15</f>
        <v>0</v>
      </c>
      <c r="J32" s="14" t="n">
        <f aca="false">Setembro!$M$15</f>
        <v>0</v>
      </c>
      <c r="K32" s="14" t="n">
        <f aca="false">Outubro!$M$15</f>
        <v>0</v>
      </c>
      <c r="L32" s="14" t="n">
        <f aca="false">Novembro!$M$15</f>
        <v>0</v>
      </c>
      <c r="M32" s="14" t="n">
        <f aca="false">Dezembro!$M$15</f>
        <v>0</v>
      </c>
      <c r="N32" s="14" t="n">
        <f aca="false">SUM(B32:M32)</f>
        <v>0</v>
      </c>
    </row>
    <row r="33" customFormat="false" ht="15" hidden="false" customHeight="false" outlineLevel="0" collapsed="false">
      <c r="A33" s="28" t="s">
        <v>56</v>
      </c>
      <c r="B33" s="14" t="n">
        <f aca="false">Janeiro!$M$16</f>
        <v>0</v>
      </c>
      <c r="C33" s="14" t="n">
        <f aca="false">Fevereiro!$M$16</f>
        <v>0</v>
      </c>
      <c r="D33" s="14" t="n">
        <f aca="false">Março!$M$16</f>
        <v>0</v>
      </c>
      <c r="E33" s="14" t="n">
        <f aca="false">Abril!$M$16</f>
        <v>0</v>
      </c>
      <c r="F33" s="14" t="n">
        <f aca="false">Maio!$M$16</f>
        <v>0</v>
      </c>
      <c r="G33" s="14" t="n">
        <f aca="false">Junho!$M$16</f>
        <v>0</v>
      </c>
      <c r="H33" s="14" t="n">
        <f aca="false">Julho!$M$16</f>
        <v>0</v>
      </c>
      <c r="I33" s="14" t="n">
        <f aca="false">Agosto!$M$16</f>
        <v>0</v>
      </c>
      <c r="J33" s="14" t="n">
        <f aca="false">Setembro!$M$16</f>
        <v>0</v>
      </c>
      <c r="K33" s="14" t="n">
        <f aca="false">Outubro!$M$16</f>
        <v>0</v>
      </c>
      <c r="L33" s="14" t="n">
        <f aca="false">Novembro!$M$16</f>
        <v>0</v>
      </c>
      <c r="M33" s="14" t="n">
        <f aca="false">Dezembro!$M$16</f>
        <v>0</v>
      </c>
      <c r="N33" s="14" t="n">
        <f aca="false">SUM(B33:M33)</f>
        <v>0</v>
      </c>
    </row>
    <row r="34" customFormat="false" ht="15" hidden="false" customHeight="false" outlineLevel="0" collapsed="false">
      <c r="A34" s="29" t="s">
        <v>57</v>
      </c>
      <c r="B34" s="9" t="n">
        <f aca="false">SUM(B22:B33)</f>
        <v>649.6</v>
      </c>
      <c r="C34" s="9" t="n">
        <f aca="false">SUM(C22:C33)</f>
        <v>0</v>
      </c>
      <c r="D34" s="9" t="n">
        <f aca="false">SUM(D22:D33)</f>
        <v>0</v>
      </c>
      <c r="E34" s="9" t="n">
        <f aca="false">SUM(E22:E33)</f>
        <v>0</v>
      </c>
      <c r="F34" s="9" t="n">
        <f aca="false">SUM(F22:F33)</f>
        <v>0</v>
      </c>
      <c r="G34" s="9" t="n">
        <f aca="false">SUM(G22:G33)</f>
        <v>0</v>
      </c>
      <c r="H34" s="9" t="n">
        <f aca="false">SUM(H22:H33)</f>
        <v>0</v>
      </c>
      <c r="I34" s="9" t="n">
        <f aca="false">SUM(I22:I33)</f>
        <v>0</v>
      </c>
      <c r="J34" s="9" t="n">
        <f aca="false">SUM(J22:J33)</f>
        <v>0</v>
      </c>
      <c r="K34" s="9" t="n">
        <f aca="false">SUM(K22:K33)</f>
        <v>0</v>
      </c>
      <c r="L34" s="9" t="n">
        <f aca="false">SUM(L22:L33)</f>
        <v>0</v>
      </c>
      <c r="M34" s="9" t="n">
        <f aca="false">SUM(M22:M33)</f>
        <v>0</v>
      </c>
      <c r="N34" s="9" t="n">
        <f aca="false">SUM(N22:N33)</f>
        <v>649.6</v>
      </c>
    </row>
    <row r="37" customFormat="false" ht="15" hidden="false" customHeight="true" outlineLevel="0" collapsed="false">
      <c r="A37" s="6" t="s">
        <v>124</v>
      </c>
      <c r="B37" s="6"/>
      <c r="C37" s="6"/>
      <c r="E37" s="6" t="s">
        <v>125</v>
      </c>
      <c r="F37" s="6"/>
      <c r="G37" s="6"/>
      <c r="H37" s="6"/>
    </row>
    <row r="38" customFormat="false" ht="15" hidden="false" customHeight="false" outlineLevel="0" collapsed="false">
      <c r="A38" s="6" t="s">
        <v>126</v>
      </c>
      <c r="B38" s="6" t="s">
        <v>127</v>
      </c>
      <c r="C38" s="6" t="s">
        <v>128</v>
      </c>
      <c r="E38" s="6" t="s">
        <v>126</v>
      </c>
      <c r="F38" s="6" t="s">
        <v>129</v>
      </c>
      <c r="G38" s="6" t="s">
        <v>130</v>
      </c>
      <c r="H38" s="6" t="s">
        <v>131</v>
      </c>
    </row>
    <row r="39" customFormat="false" ht="15" hidden="false" customHeight="false" outlineLevel="0" collapsed="false">
      <c r="A39" s="10"/>
      <c r="B39" s="10"/>
      <c r="C39" s="14"/>
      <c r="E39" s="10"/>
      <c r="F39" s="14"/>
      <c r="G39" s="14"/>
      <c r="H39" s="10"/>
    </row>
    <row r="40" customFormat="false" ht="15" hidden="false" customHeight="false" outlineLevel="0" collapsed="false">
      <c r="A40" s="10"/>
      <c r="B40" s="10"/>
      <c r="C40" s="14"/>
      <c r="E40" s="10"/>
      <c r="F40" s="14"/>
      <c r="G40" s="14"/>
      <c r="H40" s="10"/>
    </row>
    <row r="41" customFormat="false" ht="15" hidden="false" customHeight="false" outlineLevel="0" collapsed="false">
      <c r="A41" s="10"/>
      <c r="B41" s="10"/>
      <c r="C41" s="14"/>
      <c r="E41" s="10"/>
      <c r="F41" s="14"/>
      <c r="G41" s="14"/>
      <c r="H41" s="10"/>
    </row>
    <row r="42" customFormat="false" ht="15" hidden="false" customHeight="false" outlineLevel="0" collapsed="false">
      <c r="A42" s="10"/>
      <c r="B42" s="10"/>
      <c r="C42" s="14"/>
      <c r="E42" s="10"/>
      <c r="F42" s="14"/>
      <c r="G42" s="14"/>
      <c r="H42" s="10"/>
    </row>
    <row r="43" customFormat="false" ht="15" hidden="false" customHeight="false" outlineLevel="0" collapsed="false">
      <c r="A43" s="10"/>
      <c r="B43" s="10"/>
      <c r="C43" s="14"/>
      <c r="E43" s="10"/>
      <c r="F43" s="14"/>
      <c r="G43" s="14"/>
      <c r="H43" s="10"/>
    </row>
    <row r="44" customFormat="false" ht="15" hidden="false" customHeight="false" outlineLevel="0" collapsed="false">
      <c r="A44" s="10"/>
      <c r="B44" s="10"/>
      <c r="C44" s="14"/>
      <c r="E44" s="10"/>
      <c r="F44" s="14"/>
      <c r="G44" s="14"/>
      <c r="H44" s="10"/>
    </row>
    <row r="45" customFormat="false" ht="15" hidden="false" customHeight="false" outlineLevel="0" collapsed="false">
      <c r="A45" s="10"/>
      <c r="B45" s="10"/>
      <c r="C45" s="14"/>
      <c r="E45" s="10"/>
      <c r="F45" s="14"/>
      <c r="G45" s="14"/>
      <c r="H45" s="10"/>
    </row>
    <row r="46" customFormat="false" ht="15" hidden="false" customHeight="false" outlineLevel="0" collapsed="false">
      <c r="A46" s="10"/>
      <c r="B46" s="10"/>
      <c r="C46" s="14"/>
      <c r="E46" s="10"/>
      <c r="F46" s="14"/>
      <c r="G46" s="14"/>
      <c r="H46" s="10"/>
    </row>
    <row r="47" customFormat="false" ht="15" hidden="false" customHeight="false" outlineLevel="0" collapsed="false">
      <c r="A47" s="10"/>
      <c r="B47" s="10"/>
      <c r="C47" s="14"/>
      <c r="E47" s="10"/>
      <c r="F47" s="14"/>
      <c r="G47" s="14"/>
      <c r="H47" s="10"/>
    </row>
    <row r="48" customFormat="false" ht="15" hidden="false" customHeight="false" outlineLevel="0" collapsed="false">
      <c r="A48" s="10"/>
      <c r="B48" s="10"/>
      <c r="C48" s="14"/>
      <c r="E48" s="10"/>
      <c r="F48" s="14"/>
      <c r="G48" s="14"/>
      <c r="H48" s="10"/>
    </row>
    <row r="51" customFormat="false" ht="15" hidden="false" customHeight="true" outlineLevel="0" collapsed="false">
      <c r="A51" s="6" t="s">
        <v>132</v>
      </c>
      <c r="B51" s="6"/>
      <c r="C51" s="6"/>
      <c r="D51" s="6"/>
    </row>
    <row r="52" customFormat="false" ht="15" hidden="false" customHeight="true" outlineLevel="0" collapsed="false">
      <c r="A52" s="31" t="s">
        <v>133</v>
      </c>
      <c r="B52" s="31"/>
      <c r="C52" s="31"/>
      <c r="D52" s="33" t="str">
        <f aca="false">IF(MAX(C5:C16)=0,"—",INDEX(A5:A16,MATCH(MAX(C5:C16),C5:C16,0)))</f>
        <v>Janeiro</v>
      </c>
    </row>
    <row r="53" customFormat="false" ht="15" hidden="false" customHeight="true" outlineLevel="0" collapsed="false">
      <c r="A53" s="31" t="s">
        <v>134</v>
      </c>
      <c r="B53" s="31"/>
      <c r="C53" s="31"/>
      <c r="D53" s="33" t="str">
        <f aca="false">IF(SUM(B5:B16)=0,"—",INDEX(A5:A16,MATCH(MAX(D5:D16),D5:D16,0)))</f>
        <v>—</v>
      </c>
    </row>
    <row r="54" customFormat="false" ht="15" hidden="false" customHeight="true" outlineLevel="0" collapsed="false">
      <c r="A54" s="31" t="s">
        <v>135</v>
      </c>
      <c r="B54" s="31"/>
      <c r="C54" s="31"/>
      <c r="D54" s="33" t="str">
        <f aca="false">IF(SUM(N22:N33)=0,"—",INDEX(A22:A33,MATCH(MAX(N22:N33),N22:N33,0)))</f>
        <v>Mercado</v>
      </c>
    </row>
    <row r="55" customFormat="false" ht="15" hidden="false" customHeight="true" outlineLevel="0" collapsed="false">
      <c r="A55" s="31" t="s">
        <v>136</v>
      </c>
      <c r="B55" s="31"/>
      <c r="C55" s="31"/>
      <c r="D55" s="14" t="n">
        <f aca="false">IFERROR(AVERAGEIF(C5:C16,"&gt;0"),0)</f>
        <v>649.6</v>
      </c>
    </row>
    <row r="56" customFormat="false" ht="15" hidden="false" customHeight="true" outlineLevel="0" collapsed="false">
      <c r="A56" s="31" t="s">
        <v>137</v>
      </c>
      <c r="B56" s="31"/>
      <c r="C56" s="31"/>
      <c r="D56" s="14" t="n">
        <f aca="false">Investimento!$D$17</f>
        <v>0</v>
      </c>
    </row>
    <row r="57" customFormat="false" ht="15" hidden="false" customHeight="true" outlineLevel="0" collapsed="false">
      <c r="A57" s="31" t="s">
        <v>138</v>
      </c>
      <c r="B57" s="31"/>
      <c r="C57" s="31"/>
      <c r="D57" s="16" t="n">
        <f aca="false">IFERROR(D17/B17,0)</f>
        <v>0</v>
      </c>
    </row>
  </sheetData>
  <mergeCells count="12">
    <mergeCell ref="A1:N1"/>
    <mergeCell ref="A3:D3"/>
    <mergeCell ref="A20:N20"/>
    <mergeCell ref="A37:C37"/>
    <mergeCell ref="E37:H37"/>
    <mergeCell ref="A51:D51"/>
    <mergeCell ref="A52:C52"/>
    <mergeCell ref="A53:C53"/>
    <mergeCell ref="A54:C54"/>
    <mergeCell ref="A55:C55"/>
    <mergeCell ref="A56:C56"/>
    <mergeCell ref="A57:C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117"/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4"/>
    <col collapsed="false" customWidth="true" hidden="false" outlineLevel="0" max="5" min="5" style="0" width="13"/>
    <col collapsed="false" customWidth="true" hidden="false" outlineLevel="0" max="6" min="6" style="0" width="14"/>
  </cols>
  <sheetData>
    <row r="1" customFormat="false" ht="33.75" hidden="false" customHeight="true" outlineLevel="0" collapsed="false">
      <c r="A1" s="1" t="s">
        <v>139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6" t="s">
        <v>140</v>
      </c>
      <c r="B3" s="6"/>
      <c r="C3" s="6"/>
      <c r="D3" s="6"/>
      <c r="E3" s="6"/>
      <c r="F3" s="6"/>
    </row>
    <row r="4" customFormat="false" ht="15" hidden="false" customHeight="false" outlineLevel="0" collapsed="false">
      <c r="A4" s="6" t="s">
        <v>141</v>
      </c>
      <c r="B4" s="6" t="s">
        <v>142</v>
      </c>
      <c r="C4" s="6" t="s">
        <v>143</v>
      </c>
      <c r="D4" s="6" t="s">
        <v>144</v>
      </c>
      <c r="E4" s="6" t="s">
        <v>145</v>
      </c>
      <c r="F4" s="6" t="s">
        <v>146</v>
      </c>
    </row>
    <row r="5" customFormat="false" ht="15" hidden="false" customHeight="false" outlineLevel="0" collapsed="false">
      <c r="A5" s="10" t="s">
        <v>147</v>
      </c>
      <c r="B5" s="14" t="n">
        <v>5000</v>
      </c>
      <c r="C5" s="14" t="n">
        <v>1500</v>
      </c>
      <c r="D5" s="14" t="n">
        <f aca="false">B5-C5</f>
        <v>3500</v>
      </c>
      <c r="E5" s="16" t="n">
        <f aca="false">IFERROR(C5/B5,0)</f>
        <v>0.3</v>
      </c>
      <c r="F5" s="11" t="n">
        <v>46387</v>
      </c>
    </row>
    <row r="6" customFormat="false" ht="15" hidden="false" customHeight="false" outlineLevel="0" collapsed="false">
      <c r="A6" s="10"/>
      <c r="B6" s="14"/>
      <c r="C6" s="14"/>
      <c r="D6" s="14" t="n">
        <f aca="false">B6-C6</f>
        <v>0</v>
      </c>
      <c r="E6" s="16" t="n">
        <f aca="false">IFERROR(C6/B6,0)</f>
        <v>0</v>
      </c>
      <c r="F6" s="11"/>
    </row>
    <row r="7" customFormat="false" ht="15" hidden="false" customHeight="false" outlineLevel="0" collapsed="false">
      <c r="A7" s="10"/>
      <c r="B7" s="14"/>
      <c r="C7" s="14"/>
      <c r="D7" s="14" t="n">
        <f aca="false">B7-C7</f>
        <v>0</v>
      </c>
      <c r="E7" s="16" t="n">
        <f aca="false">IFERROR(C7/B7,0)</f>
        <v>0</v>
      </c>
      <c r="F7" s="11"/>
    </row>
    <row r="8" customFormat="false" ht="15" hidden="false" customHeight="false" outlineLevel="0" collapsed="false">
      <c r="A8" s="10"/>
      <c r="B8" s="14"/>
      <c r="C8" s="14"/>
      <c r="D8" s="14" t="n">
        <f aca="false">B8-C8</f>
        <v>0</v>
      </c>
      <c r="E8" s="16" t="n">
        <f aca="false">IFERROR(C8/B8,0)</f>
        <v>0</v>
      </c>
      <c r="F8" s="11"/>
    </row>
    <row r="9" customFormat="false" ht="15" hidden="false" customHeight="false" outlineLevel="0" collapsed="false">
      <c r="A9" s="10"/>
      <c r="B9" s="14"/>
      <c r="C9" s="14"/>
      <c r="D9" s="14" t="n">
        <f aca="false">B9-C9</f>
        <v>0</v>
      </c>
      <c r="E9" s="16" t="n">
        <f aca="false">IFERROR(C9/B9,0)</f>
        <v>0</v>
      </c>
      <c r="F9" s="11"/>
    </row>
    <row r="10" customFormat="false" ht="15" hidden="false" customHeight="false" outlineLevel="0" collapsed="false">
      <c r="A10" s="10"/>
      <c r="B10" s="14"/>
      <c r="C10" s="14"/>
      <c r="D10" s="14" t="n">
        <f aca="false">B10-C10</f>
        <v>0</v>
      </c>
      <c r="E10" s="16" t="n">
        <f aca="false">IFERROR(C10/B10,0)</f>
        <v>0</v>
      </c>
      <c r="F10" s="11"/>
    </row>
    <row r="11" customFormat="false" ht="15" hidden="false" customHeight="false" outlineLevel="0" collapsed="false">
      <c r="A11" s="10"/>
      <c r="B11" s="14"/>
      <c r="C11" s="14"/>
      <c r="D11" s="14" t="n">
        <f aca="false">B11-C11</f>
        <v>0</v>
      </c>
      <c r="E11" s="16" t="n">
        <f aca="false">IFERROR(C11/B11,0)</f>
        <v>0</v>
      </c>
      <c r="F11" s="11"/>
    </row>
    <row r="12" customFormat="false" ht="15" hidden="false" customHeight="false" outlineLevel="0" collapsed="false">
      <c r="A12" s="10"/>
      <c r="B12" s="14"/>
      <c r="C12" s="14"/>
      <c r="D12" s="14" t="n">
        <f aca="false">B12-C12</f>
        <v>0</v>
      </c>
      <c r="E12" s="16" t="n">
        <f aca="false">IFERROR(C12/B12,0)</f>
        <v>0</v>
      </c>
      <c r="F12" s="11"/>
    </row>
    <row r="13" customFormat="false" ht="15" hidden="false" customHeight="false" outlineLevel="0" collapsed="false">
      <c r="A13" s="10"/>
      <c r="B13" s="14"/>
      <c r="C13" s="14"/>
      <c r="D13" s="14" t="n">
        <f aca="false">B13-C13</f>
        <v>0</v>
      </c>
      <c r="E13" s="16" t="n">
        <f aca="false">IFERROR(C13/B13,0)</f>
        <v>0</v>
      </c>
      <c r="F13" s="11"/>
    </row>
    <row r="14" customFormat="false" ht="15" hidden="false" customHeight="false" outlineLevel="0" collapsed="false">
      <c r="A14" s="10"/>
      <c r="B14" s="14"/>
      <c r="C14" s="14"/>
      <c r="D14" s="14" t="n">
        <f aca="false">B14-C14</f>
        <v>0</v>
      </c>
      <c r="E14" s="16" t="n">
        <f aca="false">IFERROR(C14/B14,0)</f>
        <v>0</v>
      </c>
      <c r="F14" s="11"/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117"/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</cols>
  <sheetData>
    <row r="1" customFormat="false" ht="33.75" hidden="false" customHeight="true" outlineLevel="0" collapsed="false">
      <c r="A1" s="1" t="s">
        <v>148</v>
      </c>
      <c r="B1" s="1"/>
      <c r="C1" s="1"/>
      <c r="D1" s="1"/>
    </row>
    <row r="3" customFormat="false" ht="15" hidden="false" customHeight="true" outlineLevel="0" collapsed="false">
      <c r="A3" s="6" t="s">
        <v>149</v>
      </c>
      <c r="B3" s="6"/>
      <c r="C3" s="6"/>
      <c r="D3" s="6"/>
    </row>
    <row r="4" customFormat="false" ht="15" hidden="false" customHeight="false" outlineLevel="0" collapsed="false">
      <c r="A4" s="6" t="s">
        <v>94</v>
      </c>
      <c r="B4" s="6" t="s">
        <v>72</v>
      </c>
      <c r="C4" s="6" t="s">
        <v>79</v>
      </c>
      <c r="D4" s="6" t="s">
        <v>57</v>
      </c>
    </row>
    <row r="5" customFormat="false" ht="15" hidden="false" customHeight="false" outlineLevel="0" collapsed="false">
      <c r="A5" s="10" t="s">
        <v>98</v>
      </c>
      <c r="B5" s="14" t="n">
        <f aca="false">Janeiro!$I$42</f>
        <v>0</v>
      </c>
      <c r="C5" s="14" t="n">
        <f aca="false">Janeiro!$I$43</f>
        <v>0</v>
      </c>
      <c r="D5" s="14" t="n">
        <f aca="false">Janeiro!$I$44</f>
        <v>0</v>
      </c>
    </row>
    <row r="6" customFormat="false" ht="15" hidden="false" customHeight="false" outlineLevel="0" collapsed="false">
      <c r="A6" s="10" t="s">
        <v>99</v>
      </c>
      <c r="B6" s="14" t="n">
        <f aca="false">Fevereiro!$I$42</f>
        <v>0</v>
      </c>
      <c r="C6" s="14" t="n">
        <f aca="false">Fevereiro!$I$43</f>
        <v>0</v>
      </c>
      <c r="D6" s="14" t="n">
        <f aca="false">Fevereiro!$I$44</f>
        <v>0</v>
      </c>
    </row>
    <row r="7" customFormat="false" ht="15" hidden="false" customHeight="false" outlineLevel="0" collapsed="false">
      <c r="A7" s="10" t="s">
        <v>100</v>
      </c>
      <c r="B7" s="14" t="n">
        <f aca="false">Março!$I$42</f>
        <v>0</v>
      </c>
      <c r="C7" s="14" t="n">
        <f aca="false">Março!$I$43</f>
        <v>0</v>
      </c>
      <c r="D7" s="14" t="n">
        <f aca="false">Março!$I$44</f>
        <v>0</v>
      </c>
    </row>
    <row r="8" customFormat="false" ht="15" hidden="false" customHeight="false" outlineLevel="0" collapsed="false">
      <c r="A8" s="10" t="s">
        <v>101</v>
      </c>
      <c r="B8" s="14" t="n">
        <f aca="false">Abril!$I$42</f>
        <v>0</v>
      </c>
      <c r="C8" s="14" t="n">
        <f aca="false">Abril!$I$43</f>
        <v>0</v>
      </c>
      <c r="D8" s="14" t="n">
        <f aca="false">Abril!$I$44</f>
        <v>0</v>
      </c>
    </row>
    <row r="9" customFormat="false" ht="15" hidden="false" customHeight="false" outlineLevel="0" collapsed="false">
      <c r="A9" s="10" t="s">
        <v>102</v>
      </c>
      <c r="B9" s="14" t="n">
        <f aca="false">Maio!$I$42</f>
        <v>0</v>
      </c>
      <c r="C9" s="14" t="n">
        <f aca="false">Maio!$I$43</f>
        <v>0</v>
      </c>
      <c r="D9" s="14" t="n">
        <f aca="false">Maio!$I$44</f>
        <v>0</v>
      </c>
    </row>
    <row r="10" customFormat="false" ht="15" hidden="false" customHeight="false" outlineLevel="0" collapsed="false">
      <c r="A10" s="10" t="s">
        <v>103</v>
      </c>
      <c r="B10" s="14" t="n">
        <f aca="false">Junho!$I$42</f>
        <v>0</v>
      </c>
      <c r="C10" s="14" t="n">
        <f aca="false">Junho!$I$43</f>
        <v>0</v>
      </c>
      <c r="D10" s="14" t="n">
        <f aca="false">Junho!$I$44</f>
        <v>0</v>
      </c>
    </row>
    <row r="11" customFormat="false" ht="15" hidden="false" customHeight="false" outlineLevel="0" collapsed="false">
      <c r="A11" s="10" t="s">
        <v>104</v>
      </c>
      <c r="B11" s="14" t="n">
        <f aca="false">Julho!$I$42</f>
        <v>0</v>
      </c>
      <c r="C11" s="14" t="n">
        <f aca="false">Julho!$I$43</f>
        <v>0</v>
      </c>
      <c r="D11" s="14" t="n">
        <f aca="false">Julho!$I$44</f>
        <v>0</v>
      </c>
    </row>
    <row r="12" customFormat="false" ht="15" hidden="false" customHeight="false" outlineLevel="0" collapsed="false">
      <c r="A12" s="10" t="s">
        <v>105</v>
      </c>
      <c r="B12" s="14" t="n">
        <f aca="false">Agosto!$I$42</f>
        <v>0</v>
      </c>
      <c r="C12" s="14" t="n">
        <f aca="false">Agosto!$I$43</f>
        <v>0</v>
      </c>
      <c r="D12" s="14" t="n">
        <f aca="false">Agosto!$I$44</f>
        <v>0</v>
      </c>
    </row>
    <row r="13" customFormat="false" ht="15" hidden="false" customHeight="false" outlineLevel="0" collapsed="false">
      <c r="A13" s="10" t="s">
        <v>106</v>
      </c>
      <c r="B13" s="14" t="n">
        <f aca="false">Setembro!$I$42</f>
        <v>0</v>
      </c>
      <c r="C13" s="14" t="n">
        <f aca="false">Setembro!$I$43</f>
        <v>0</v>
      </c>
      <c r="D13" s="14" t="n">
        <f aca="false">Setembro!$I$44</f>
        <v>0</v>
      </c>
    </row>
    <row r="14" customFormat="false" ht="15" hidden="false" customHeight="false" outlineLevel="0" collapsed="false">
      <c r="A14" s="10" t="s">
        <v>107</v>
      </c>
      <c r="B14" s="14" t="n">
        <f aca="false">Outubro!$I$42</f>
        <v>0</v>
      </c>
      <c r="C14" s="14" t="n">
        <f aca="false">Outubro!$I$43</f>
        <v>0</v>
      </c>
      <c r="D14" s="14" t="n">
        <f aca="false">Outubro!$I$44</f>
        <v>0</v>
      </c>
    </row>
    <row r="15" customFormat="false" ht="15" hidden="false" customHeight="false" outlineLevel="0" collapsed="false">
      <c r="A15" s="10" t="s">
        <v>108</v>
      </c>
      <c r="B15" s="14" t="n">
        <f aca="false">Novembro!$I$42</f>
        <v>0</v>
      </c>
      <c r="C15" s="14" t="n">
        <f aca="false">Novembro!$I$43</f>
        <v>0</v>
      </c>
      <c r="D15" s="14" t="n">
        <f aca="false">Novembro!$I$44</f>
        <v>0</v>
      </c>
    </row>
    <row r="16" customFormat="false" ht="15" hidden="false" customHeight="false" outlineLevel="0" collapsed="false">
      <c r="A16" s="10" t="s">
        <v>109</v>
      </c>
      <c r="B16" s="14" t="n">
        <f aca="false">Dezembro!$I$42</f>
        <v>0</v>
      </c>
      <c r="C16" s="14" t="n">
        <f aca="false">Dezembro!$I$43</f>
        <v>0</v>
      </c>
      <c r="D16" s="14" t="n">
        <f aca="false">Dezembro!$I$44</f>
        <v>0</v>
      </c>
    </row>
    <row r="17" customFormat="false" ht="15" hidden="false" customHeight="false" outlineLevel="0" collapsed="false">
      <c r="A17" s="29" t="s">
        <v>110</v>
      </c>
      <c r="B17" s="9" t="n">
        <f aca="false">SUM(B5:B16)</f>
        <v>0</v>
      </c>
      <c r="C17" s="9" t="n">
        <f aca="false">SUM(C5:C16)</f>
        <v>0</v>
      </c>
      <c r="D17" s="9" t="n">
        <f aca="false">SUM(D5:D16)</f>
        <v>0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2026-07-19T11:38:27Z</dcterms:created>
  <dc:creator>openpyxl</dc:creator>
  <dc:description/>
  <dc:language>en-US</dc:language>
  <cp:lastModifiedBy/>
  <dcterms:modified xsi:type="dcterms:W3CDTF">2026-07-19T11:38:29Z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